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kotlin\back\exast-v1\app\src\test\resources\"/>
    </mc:Choice>
  </mc:AlternateContent>
  <bookViews>
    <workbookView xWindow="0" yWindow="5184" windowWidth="28800" windowHeight="13212"/>
  </bookViews>
  <sheets>
    <sheet name="Лист1" sheetId="1" r:id="rId1"/>
  </sheets>
  <definedNames>
    <definedName name="_xlnm._FilterDatabase" localSheetId="0" hidden="1">Лист1!$A$1:$O$332</definedName>
  </definedNames>
  <calcPr calcId="152511"/>
</workbook>
</file>

<file path=xl/calcChain.xml><?xml version="1.0" encoding="utf-8"?>
<calcChain xmlns="http://schemas.openxmlformats.org/spreadsheetml/2006/main">
  <c r="L298" i="1" l="1"/>
  <c r="L297" i="1"/>
  <c r="L331" i="1" l="1"/>
  <c r="L321" i="1"/>
  <c r="L329" i="1" l="1"/>
  <c r="L313" i="1"/>
  <c r="L328" i="1"/>
  <c r="L330" i="1"/>
  <c r="L242" i="1"/>
  <c r="L291" i="1"/>
  <c r="L327" i="1"/>
  <c r="L325" i="1"/>
  <c r="L326" i="1" l="1"/>
  <c r="L324" i="1"/>
  <c r="L323" i="1"/>
  <c r="L322" i="1"/>
  <c r="L320" i="1"/>
  <c r="L318" i="1"/>
  <c r="L319" i="1"/>
  <c r="L317" i="1"/>
  <c r="L316" i="1"/>
  <c r="L315" i="1"/>
  <c r="L314" i="1"/>
  <c r="L312" i="1"/>
  <c r="L311" i="1" l="1"/>
  <c r="L310" i="1"/>
  <c r="L302" i="1"/>
  <c r="L309" i="1"/>
  <c r="L308" i="1"/>
  <c r="L307" i="1"/>
  <c r="L306" i="1"/>
  <c r="L305" i="1" l="1"/>
  <c r="L304" i="1"/>
  <c r="L303" i="1"/>
  <c r="L301" i="1" l="1"/>
  <c r="L300" i="1"/>
  <c r="L299" i="1"/>
  <c r="L296" i="1"/>
  <c r="L295" i="1"/>
  <c r="L294" i="1"/>
  <c r="L293" i="1"/>
  <c r="L292" i="1"/>
  <c r="L290" i="1"/>
  <c r="L289" i="1"/>
  <c r="L288" i="1"/>
  <c r="L287" i="1"/>
  <c r="L286" i="1"/>
  <c r="L285" i="1"/>
  <c r="L284" i="1"/>
  <c r="L283" i="1"/>
  <c r="L282" i="1"/>
  <c r="L281" i="1"/>
  <c r="L280" i="1"/>
  <c r="L279" i="1"/>
  <c r="L267" i="1"/>
  <c r="L278" i="1"/>
  <c r="L277" i="1"/>
  <c r="L276" i="1"/>
  <c r="L275" i="1"/>
  <c r="L274" i="1"/>
  <c r="L273" i="1"/>
  <c r="L272" i="1"/>
  <c r="L270" i="1"/>
  <c r="L271" i="1"/>
  <c r="L269" i="1"/>
  <c r="L268" i="1"/>
  <c r="L266" i="1"/>
  <c r="L265" i="1"/>
  <c r="L264" i="1"/>
  <c r="L263" i="1"/>
  <c r="L262" i="1"/>
  <c r="L261" i="1"/>
  <c r="L260" i="1"/>
  <c r="L259" i="1"/>
  <c r="L258" i="1"/>
  <c r="L257" i="1"/>
  <c r="L256" i="1"/>
  <c r="L255" i="1"/>
  <c r="L254" i="1"/>
  <c r="L250" i="1"/>
  <c r="L249" i="1"/>
  <c r="L248" i="1"/>
  <c r="L252" i="1"/>
  <c r="L251" i="1"/>
  <c r="L246" i="1"/>
  <c r="L245" i="1"/>
  <c r="L240" i="1"/>
  <c r="L239" i="1"/>
  <c r="L238" i="1"/>
  <c r="L237" i="1"/>
  <c r="L236" i="1"/>
  <c r="L235" i="1"/>
  <c r="L234" i="1"/>
  <c r="L233" i="1"/>
  <c r="L232" i="1"/>
  <c r="L231" i="1"/>
  <c r="L230" i="1"/>
  <c r="L229" i="1"/>
  <c r="L228" i="1"/>
  <c r="L227" i="1"/>
  <c r="L226" i="1"/>
  <c r="L224" i="1"/>
  <c r="L223" i="1"/>
  <c r="L222" i="1"/>
  <c r="L221" i="1"/>
  <c r="L220" i="1"/>
  <c r="L219" i="1"/>
  <c r="L218" i="1"/>
  <c r="L217" i="1"/>
  <c r="L216" i="1"/>
  <c r="L215" i="1"/>
  <c r="L213" i="1"/>
  <c r="L212" i="1"/>
  <c r="L211" i="1"/>
  <c r="L192" i="1"/>
  <c r="L209" i="1"/>
  <c r="L208" i="1"/>
  <c r="L207" i="1"/>
  <c r="L206" i="1"/>
  <c r="L205" i="1"/>
  <c r="L204" i="1"/>
  <c r="L201" i="1"/>
  <c r="L202" i="1"/>
  <c r="L200" i="1"/>
  <c r="L199" i="1"/>
  <c r="L198" i="1"/>
  <c r="L196" i="1"/>
  <c r="L195" i="1"/>
  <c r="L194" i="1"/>
  <c r="L193" i="1"/>
  <c r="L191" i="1"/>
  <c r="L190" i="1"/>
  <c r="L189" i="1"/>
  <c r="L188" i="1"/>
  <c r="L187" i="1"/>
  <c r="L186" i="1"/>
  <c r="L185" i="1"/>
  <c r="L184" i="1"/>
  <c r="L183" i="1" l="1"/>
  <c r="L180" i="1"/>
  <c r="L179" i="1"/>
  <c r="L178" i="1"/>
  <c r="L177" i="1"/>
  <c r="L176" i="1"/>
  <c r="L175" i="1"/>
  <c r="L174" i="1"/>
  <c r="L173" i="1"/>
  <c r="L172" i="1"/>
  <c r="L171" i="1"/>
  <c r="L170" i="1"/>
  <c r="L169" i="1"/>
  <c r="L168" i="1"/>
  <c r="L167" i="1"/>
  <c r="L166" i="1"/>
  <c r="L165" i="1"/>
  <c r="L164" i="1"/>
  <c r="L163" i="1"/>
  <c r="L162" i="1"/>
  <c r="L161" i="1"/>
  <c r="L160" i="1"/>
  <c r="L159" i="1"/>
  <c r="L154" i="1"/>
  <c r="L203" i="1"/>
  <c r="L181" i="1"/>
  <c r="L241" i="1" l="1"/>
  <c r="L244" i="1"/>
  <c r="L158" i="1" l="1"/>
  <c r="L210" i="1" l="1"/>
  <c r="L247" i="1"/>
  <c r="L253" i="1"/>
  <c r="L243" i="1" l="1"/>
  <c r="L225" i="1"/>
  <c r="L214" i="1"/>
  <c r="L197" i="1"/>
  <c r="L182" i="1"/>
  <c r="L157" i="1" l="1"/>
  <c r="L156" i="1"/>
  <c r="L155" i="1"/>
  <c r="L152" i="1" l="1"/>
  <c r="L153" i="1"/>
  <c r="L151" i="1"/>
  <c r="L150" i="1"/>
  <c r="L149" i="1" l="1"/>
  <c r="L148" i="1"/>
  <c r="L147" i="1"/>
  <c r="L146" i="1"/>
  <c r="L145" i="1"/>
  <c r="L144" i="1"/>
  <c r="L143" i="1"/>
  <c r="L142" i="1"/>
  <c r="L141" i="1"/>
  <c r="L140" i="1"/>
  <c r="L139" i="1"/>
  <c r="L138" i="1"/>
  <c r="L137" i="1"/>
  <c r="L136" i="1"/>
  <c r="L135" i="1"/>
  <c r="L134" i="1"/>
  <c r="L133" i="1"/>
  <c r="L132" i="1"/>
  <c r="L131" i="1"/>
  <c r="L130" i="1"/>
  <c r="L93" i="1" l="1"/>
  <c r="L73"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2" i="1"/>
  <c r="L91" i="1"/>
  <c r="L90" i="1"/>
  <c r="L89" i="1"/>
  <c r="L88" i="1"/>
  <c r="L87" i="1"/>
  <c r="L86" i="1"/>
  <c r="L85" i="1"/>
  <c r="L84" i="1"/>
  <c r="L83" i="1"/>
  <c r="L82" i="1"/>
  <c r="L81" i="1"/>
  <c r="L80" i="1"/>
  <c r="L79" i="1"/>
  <c r="L78" i="1"/>
  <c r="L77" i="1"/>
  <c r="L76" i="1"/>
  <c r="L75" i="1"/>
  <c r="L74" i="1"/>
  <c r="L72" i="1"/>
  <c r="L71" i="1"/>
  <c r="L70" i="1"/>
  <c r="L69" i="1"/>
  <c r="L39" i="1"/>
  <c r="L68" i="1"/>
  <c r="L67" i="1"/>
  <c r="L66" i="1"/>
  <c r="L65" i="1"/>
  <c r="L64" i="1"/>
  <c r="L63" i="1"/>
  <c r="L62" i="1"/>
  <c r="L61" i="1"/>
  <c r="L60" i="1"/>
  <c r="L58" i="1"/>
  <c r="L59" i="1"/>
  <c r="L57" i="1"/>
  <c r="L56" i="1"/>
  <c r="L55" i="1"/>
  <c r="L54" i="1"/>
  <c r="L53" i="1"/>
  <c r="L52" i="1"/>
  <c r="L51" i="1"/>
  <c r="L50" i="1"/>
  <c r="L49" i="1"/>
  <c r="L48" i="1"/>
  <c r="L47" i="1"/>
  <c r="L46" i="1"/>
  <c r="L45" i="1"/>
  <c r="L44" i="1"/>
  <c r="L43" i="1"/>
  <c r="L42" i="1"/>
  <c r="L41" i="1"/>
  <c r="L40"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D89" i="1" l="1"/>
  <c r="D84" i="1" l="1"/>
  <c r="D88" i="1" l="1"/>
  <c r="D86" i="1"/>
  <c r="D85" i="1"/>
  <c r="D83" i="1"/>
  <c r="D82" i="1"/>
</calcChain>
</file>

<file path=xl/sharedStrings.xml><?xml version="1.0" encoding="utf-8"?>
<sst xmlns="http://schemas.openxmlformats.org/spreadsheetml/2006/main" count="2718" uniqueCount="898">
  <si>
    <t>Второй тур Открытого предновогоднего турнира СКФО по баскетболу среди мужских команд</t>
  </si>
  <si>
    <t xml:space="preserve">Участие в мероприятии </t>
  </si>
  <si>
    <t xml:space="preserve">Мужская баскетбольная команда КБГУ заняла первое место в Предновогоднем турнире среди мужских команд СКФО. Турнир проходил в два тура, в нём принимали участие БК Ессентуки, Спартак Ессентуки, ПГУ г. Пятигорск и команда КБГУ. В результате всех игр сильнее всех оказались студенты КБГУ. </t>
  </si>
  <si>
    <t>Окружной</t>
  </si>
  <si>
    <t>Ежегодная республиканская акция «Елочный круговорот»</t>
  </si>
  <si>
    <t>Экологическое</t>
  </si>
  <si>
    <t>В рамках всероссийской акции в г. Нальчик были организованы пункты приема новогодних деревьев с целью дальнейшей их переработки для благоустройства республики. Участие приняли более 50 жителей республики. Мероприятие организовано совместно ООО «Экологистика» при поддержке Министерства природных ресурсов и экологии КБР и Министерства по делам молодежи КБР.</t>
  </si>
  <si>
    <t>Комплекс каникулярных мероприятий для иностранных студентов КБГУ: Кинопросмотр мультфильма на английском языке</t>
  </si>
  <si>
    <t>Комплекс каникулярных мероприятий для иностранных студентов КБГУ: Экскурсия в Верхнюю Балкарию</t>
  </si>
  <si>
    <t>Образовательная экскурсия для иностранных студентов на Голубые озёра и в Верхнюю Балкарию.</t>
  </si>
  <si>
    <t>Кинопросмотр фильма на английском языке с русскими и английскими субтитрами для совершенствования языка участников просмотра и студенческого клуба.</t>
  </si>
  <si>
    <t>Комплекс каникулярных мероприятий для иностранных студентов КБГУ: Экскурсия на Чегемские водопады</t>
  </si>
  <si>
    <t>Образовательная экскурсия для иностранных студентов на Чегемские водопады.</t>
  </si>
  <si>
    <t>«Своя игра» на киберспортивные темы</t>
  </si>
  <si>
    <t>В Темиркановском зале состоялась «Своя игра», в которой состязались команды игроков.</t>
  </si>
  <si>
    <t>Культурно-творческое</t>
  </si>
  <si>
    <t>В КБГУ прошла череда празднований, в которых приняли участие руководители вуза, преподаватели, сотрудники и, конечно же, виновники торжества - дорогие и очаровательные студенты. ⚡️На большом перерыве состоялись танцевальные мастер-классы от трех культурных центров: кабардинского, балкарского и русского. За современные жанры танца отвечали ребята студенческого клуба «Толпа». Следующий интересный пункт празднования - выставка структурных подразделений вуза. Студенты всех направлений КБГУ собрались в холле Физмата, представив свои лучшие наработки за весь учебный семестр. Кроме этого, на третьем этаже корпуса можно было посетить локации студенческой фотобудки, где наши сотрудники радовали ребят крутыми фотографиями. К слову, фотографии будут в группе вк уже совсем скоро. Финалом вечера стал прекрасный концерт, организованный коллективом УМПиВРа. Лучшие творческие номера, награждение активистов и только праздничная атмосфера. Творческий вечер также посетил министр по молодежной политике Азамат Люев.</t>
  </si>
  <si>
    <t>Физическое</t>
  </si>
  <si>
    <t>Очный</t>
  </si>
  <si>
    <t>КБР, г. Нальчик, КБГУ, ул. Чернышевского, 173</t>
  </si>
  <si>
    <t>КБР, Черекское ущелье, с.Верхняя Балкария</t>
  </si>
  <si>
    <t>КБР, Чегемское ущелье</t>
  </si>
  <si>
    <t>КБР, г. Нальчик</t>
  </si>
  <si>
    <t xml:space="preserve">Мероприятие «Фестиваль студенчества КБГУ», посвященное Дню российского студенчества (Татьянин день) </t>
  </si>
  <si>
    <t>Научный стендап в рамках комплекса мероприятий по популяризации науки</t>
  </si>
  <si>
    <t>Научно-образовательное</t>
  </si>
  <si>
    <t>Были првоедены открытые лекции на темы "Восточная философия на каждый день"  "Фильмы которые вас шокируют" и "Рок: Жив или все таки "Жаннетли болсун "?
Первая раскрывала основы конфуцианства даосизма и день философии и практики их применения. Вторая лекция рассказывала о фильмах, которые поднимают острые социальные вопросы и иногда достаточно провокационные за счет чего и достигает цели достучаться до сознания людей. Третья лекция раскрывает вопрос становления целого пласта культуры, определившей направление всей музыки за последние 70 лет.</t>
  </si>
  <si>
    <t>Своя Игра. "Music Edition"</t>
  </si>
  <si>
    <t>УМПиВР КБГУ</t>
  </si>
  <si>
    <t>Студенческий совет КБГУ</t>
  </si>
  <si>
    <t>Киберспортивный клуб КБГУ</t>
  </si>
  <si>
    <t>Клуб интернациональной дружбы КБГУ</t>
  </si>
  <si>
    <t>Спортивный клуб КБГУ</t>
  </si>
  <si>
    <t>ТЭО "Зеленый дозор" КБГУ</t>
  </si>
  <si>
    <t>ППОО КБГУ</t>
  </si>
  <si>
    <t>Мероприятияе проходило в КБГУ в зале имени Темирканова, участниками являлись студенты КБГУ. Игра раскрывала творческий потенциал студентов в сфере музыки. По итогам мероприятия победителями стали две команды (состав команды три человека): 2 место - «DMX жив», 1 место - «Виват».</t>
  </si>
  <si>
    <t>Патриотическое</t>
  </si>
  <si>
    <t>В день 80-летия победы в Сталинградской битве в КБГУ  прошла церемония возложения цветов к памятнику павшим в годы Великой Отечественной войны сотрудникам, преподавателям и студентам КБГУ, расположенному в университетском сквере.
Почтить память героев пришли и.о. ректора КБГУ Юрий Альтудов, председатель Совета ветеранов КБГУ Хасан Шурдумов, члены ветеранской организации вуза, сотрудники и студенты КБГУ.</t>
  </si>
  <si>
    <t>Гражданское</t>
  </si>
  <si>
    <t>Информационная компания корпуса общественных наблюдателей КБР</t>
  </si>
  <si>
    <t>Представители регионального корпуса общественных наблюдателей собрались в КБГУ для обсуждения стратегии развития на 2023 год. На мероприятии также обсудили преимущества участия в деятельности корпуса и рассмотрели форматы проведения мониторинга образовательных процедур.</t>
  </si>
  <si>
    <t>Клуб общественных наблюдателей КБГУ</t>
  </si>
  <si>
    <t>Онлайн блиц-турнир по шахмататм</t>
  </si>
  <si>
    <t>Онлайн-площадки</t>
  </si>
  <si>
    <t>Шахматный клуб КБГУ GAMBIT</t>
  </si>
  <si>
    <t>Онлайн блиц-турнир среди студентов КБГУ. Проводили на платформе lichess.org. Победителем стал Алан Батов.</t>
  </si>
  <si>
    <t>Онлайн блиц-турнир среди студентов КБГУ. Проводили на платформе lichess.org. Победителем стал Альберт Долов.</t>
  </si>
  <si>
    <t>Участие в открытии первичного отделения Российского Движения детей и молодёжи «Движение первых» на базе АНО «Ресурсный центр развития волонтерства (добровольчества) КБР»</t>
  </si>
  <si>
    <t>КБР, г. Нальчик, Ресурсный центр развития волонтерства КБР</t>
  </si>
  <si>
    <t>Волонтерский центр КБГУ</t>
  </si>
  <si>
    <t>Состоялось торжественное открытие первичного отделения Российского Движения детей и молодёжи «Движение первых» на базе АНО «Ресурсный центр развития волонтерства (добровольчества) КБР»
В рамках программы работали тематические площадки.
Юные волонтеры из школ смогли принять участие в «Деловой игре», а для всех участников организовали тренинг по социальному проектированию и презентацию работы штаба #МЫВМЕСТЕ. Также для иностранных гостей был проведен круглый стол с обсуждением направлений добровольчества.</t>
  </si>
  <si>
    <t>Партия в настольную игру: "Игра Престолов. Настольная игра"</t>
  </si>
  <si>
    <t>Клуб настольных игр КБГУ</t>
  </si>
  <si>
    <t>Члены Клуба настольных игр провели еженедельную партию в стратегическую настольную игру.</t>
  </si>
  <si>
    <t>Зимний студенческий спортивно-оздоровительный лагерь "Эльбрус"</t>
  </si>
  <si>
    <t>С 6 по 10 февраля на базе КБГУ в Приэльбрусье проходит Зимний студенческий спортивно-оздоровительный лагерь "Эльбрус". Участниками лагеря стали порядка 120 человек - активисты студенческих профбюро, советов, клубов, спортивных секций, а также иностранные обучающиеся.Мероприятия и площадки от студенческих клубов, вечерки, обучение катанию на сноуборде и прочие активности - вот, чем наполнена программа лагеря.</t>
  </si>
  <si>
    <t>Игровой день в ИИИиЦТ в рамках комплекса мероприятий "Игротека в КБГУ"</t>
  </si>
  <si>
    <t>Литературный вечер "Поэзия в горах"</t>
  </si>
  <si>
    <t>Литературный клуб КБГУ</t>
  </si>
  <si>
    <t xml:space="preserve">В рамках работы зимнего спортивно-оздоровительного лагеря "Эльбрус" проведен литературный вечер, где  студенты КБГУ поделились своими стихами и прочитали любимые произведения.
</t>
  </si>
  <si>
    <t>Духовно-нравственное</t>
  </si>
  <si>
    <t>Психологический клуб КБГУ</t>
  </si>
  <si>
    <t>В рамках работы зимнего спортивно-оздоровительного лагеря "Эльбрус" проведен тренинг, где, отвечая на наводящие вопросы ведущего, ребята узнали насколько у них стереотипное мышление, а также поделились друг с другом мыслями касаемо отношений и семьи.</t>
  </si>
  <si>
    <t>Психологический тренинг "Стереотипы"</t>
  </si>
  <si>
    <t>Литературный квиз "Brain battle"</t>
  </si>
  <si>
    <t>Был проведён литературный квиз "Brain battle". По итогам игры, участники, набравшие большее количество баллов за правильные ответы, были награждены подарочными сертификатами от спонсоров, а также получили книги от сотрудников библиотеки КБГУ. Первое место заняла команда "Дюна", 2 место команда "Ременгуэй".</t>
  </si>
  <si>
    <t>В рамках комплекса мероприятий по проведению игротек на структурных подразделениях вуза, прошел первый игровой день на базе ИИИиЦТ. Студентам на выбор были предложены 10 игровых площадок, в каждой из которых они могли принять участие. Мероприятие было направлено на популяризацию настольных игр и привлечения актива в клуб.</t>
  </si>
  <si>
    <t>Встреча со студентами, в рамках проекта «Донбасс глазами очевидцев»</t>
  </si>
  <si>
    <t>Муниципальный</t>
  </si>
  <si>
    <t>Министерство по делам молодежи КБР</t>
  </si>
  <si>
    <t>В КБГУ прошла встреча, в рамках проекта «Донбасс глазами очевидцев». Очевидцы событий рассказали всю правду о событиях СВО и их первопричинах. В рамках проекта спикерами являются представители ВПФ «Новая высота», КБРОО «Волонтерское движение в поддержку соотечественников «Ни шагу назад, а также из ДНР, ЛНР, Херсонской и Луганской областей.</t>
  </si>
  <si>
    <t>Шоу-конкурс интеллекта и творчества «Мисс Студенчество КБГУ – 2023»»</t>
  </si>
  <si>
    <t>В КБГУ прошло самое долгожданное и яркое событие уходящей зимы - конкурс красоты, грации и таланта «Мисс КБГУ - 2023».
С творческими номерами выступили 7 студенток КБГУ разных структурных подразделений.</t>
  </si>
  <si>
    <t>9-й Чемпионат и первенство КБР по мас-рестлингу</t>
  </si>
  <si>
    <t xml:space="preserve">11 февраля в спортивном комплексе «Нальчик» прошел 9-й Чемпионат и первенство КБР по мас-рестлингу. В соревнованиях участвовали около 200 спортсменов. В соревновании приняли участие воспитанники секции по силовым видам спорта, тренер Ингушев Ч.Х. Результаты наших ребят: 1 место - Акхубеков Марат, Шкахова Фазиля, Афасижев Ричард, Алексеев Олег, Начоев Рамазан, 2 место - Кагазежев Азат, Тотроков Рустам, 3 место - Каракизов Ислам. 
По итогам соревнования были сформированы сборные команды КБР. </t>
  </si>
  <si>
    <t>КБР, г. Нальчик, спортивный комплекс "Нальчик"</t>
  </si>
  <si>
    <t>Спортивно-развлекательная игра «Парное дерби»</t>
  </si>
  <si>
    <t>Спортивно-патриотический клуб КБГУ "Лайм", Литературный клуб КБГУ</t>
  </si>
  <si>
    <t>Игровой день в ИИЭиР в рамках комплекса мероприятий "Игротека в КБГУ"</t>
  </si>
  <si>
    <t>В рамках комплекса мероприятий по проведению игротек на структурных подразделениях вуза, прошел очередной игровой день на базе ИИЭиР. Студентам на выбор были предложены 5 игровых площадок, в каждой из которых они могли принять участие. Мероприятие было направлено на популяризацию настольных игр и привлечения актива в клуб.</t>
  </si>
  <si>
    <t>Мероприятие прошло в формате развлекательной игры на литературную и спортивную тематики. Участников мероприятия поделили на пары, которым были предложены разные задания, чтобы понять как хорошо они знают друг друга:
- от литературного клуба - угадайие или вспомните факты о другом человеке,
- от спортивно-птариотчиеского клуба - ответьте на футбольные вопросы на интуицию.</t>
  </si>
  <si>
    <t>Возложение цветов к памятнику студентам, преподавателям и сотрудникам КБГУ</t>
  </si>
  <si>
    <t>Состоялось возложение цветов к памятнику студентам, преподавателям и сотрудникам КБГУ, павшим в годы ВОВ 1941-1945. Мероприятие посвящено празднованию Дня защитника Отечества.</t>
  </si>
  <si>
    <t>Встреча студентов КБГУ с ветеранами боевых действий, посвященная празднованию Дня защитника Отечества</t>
  </si>
  <si>
    <t xml:space="preserve">Накануне празднования Дня защитника Отечества, в КБГУ прошла встреча студентов с руководством вуза и ветеранами боевых действий. В ходе мероприятия студенты всех структурных подразделений, в том числе и иностранные обучающиеся, получили возможность посмотреть документальный фильм, посвящённый Дню Защитника Отечества и СВО. И.о. ректора КБГУ Юрий Альтудов поприветствовал присутствующих, отметив, что благодарность к тем, кто ежедневно совершает подвиги, является важной частью нашей жизни. </t>
  </si>
  <si>
    <t>Мероприятие азиатского клуба "POWERPOINT BIRTHDAY PARTY"</t>
  </si>
  <si>
    <t>Спортивно-патриотический клуб КБГУ "Лайм"</t>
  </si>
  <si>
    <t>Мероприятие научно-развлекательного характера "GENEZIS"</t>
  </si>
  <si>
    <t>Набор в актив студенческого литературного клуба "Literary Empire"</t>
  </si>
  <si>
    <t>Было организовано собеседование для желающих вступить в актив студенческого литературного клуба. Участники выполняли творческие задания.</t>
  </si>
  <si>
    <t>В КБГУ прошел показательный турнир по Армрестлингу, посвященный Дню Защитника Отечества. Площадка проведения мероприятия - зал им. Х.С. Темирканова. Участники были представлены в разных весовых категориях, а также из разных образовательных учереждений и курсов.</t>
  </si>
  <si>
    <t>Игровой день в ИФиМ в рамках комплекса мероприятий "Игротека в КБГУ"</t>
  </si>
  <si>
    <t>В рамках комплекса мероприятий по проведению игротек на структурных подразделениях вуза, прошел очередной игровой день в ИФиМ. Студентам на выбор были предложены игровые площадки, в каждой из которых они могли принять участие. Мероприятие было направлено на популяризацию настольных игр и привлечения актива в клуб.</t>
  </si>
  <si>
    <t>Студенческое самоуправление</t>
  </si>
  <si>
    <t>Собрание актива студенческого клуба настольных игр</t>
  </si>
  <si>
    <t>На собрании обсуждались дальнейшие мероприятия Клуба. Произошли внутренние перестановки. Двое участников презентовали разработки собственных настольных игр.</t>
  </si>
  <si>
    <t>Просмотр концерта «BTS: Yet to Come in Seoul»</t>
  </si>
  <si>
    <t>Прошло мероприятие, проведённое в честь годовщины со дня основания клуба азиатской культуры. Участники клуба выступили с презентациями на различные тематики. В рамках мероприятия также прошла благотворительная ярмарка. Полученные деньги пойдут на помощь приюту для животных</t>
  </si>
  <si>
    <t>В культурном центре им. Х.С. Темирканова состоялся вечер презентаций от азиатского клуба: теплая компания и интересные темы, насыщенная ярмарка и невероятно важная цель - благотворительность. В рамках мероприятия прошел сбор средств для оказания помощи приюту животных.</t>
  </si>
  <si>
    <t xml:space="preserve">В зале им. А.Н. Сокурова прошло научно-развлекательное мероприятие в формате игры. Интеллектуально-развлекательная игра включала в себя несколько этапов различной сложности на определенные темы с использованием интерактивных технологий. </t>
  </si>
  <si>
    <t>Литературная акция, посвященная празднованию Международного женского дня "Весна, романтика, любовь"</t>
  </si>
  <si>
    <t>07.03.2023 - 08.03.2023</t>
  </si>
  <si>
    <t>В предверии замечательного праздника – Международного дня солидарности женщин и их прав –Литературный клуб подготовил небольшую акцию. Её цель –проверить, что студенты КБГУ знают о вкладе женщин в литературу?</t>
  </si>
  <si>
    <t>Праздничный концерт, посвященный празднованию Международного женского дня в КБГУ</t>
  </si>
  <si>
    <t>Партия в настольную игру: "Цитадели"</t>
  </si>
  <si>
    <t xml:space="preserve">Была организована площадка для желающих сразиться в настольную игру "Цитадели".
</t>
  </si>
  <si>
    <t>Выставка, посвященная великим женщинам в рамках празднования Международного женского дня в КБГУ</t>
  </si>
  <si>
    <t>В КБГУ в преддверии международного женского дня состоялся праздничный концерт для сотрудников и студентов вуза с участием звезд кавказской эстрады и творческих коллективов КБГУ.</t>
  </si>
  <si>
    <t>В главном корпусе КБГУ состоялась выставка, посвященная выдающимся женщинам России и мира, внесшим весомый вклад в развитие различных областей деятельности. Выставку подготовил студенческий правовой клуб и управление по молодежной политике и воспитательной работе КБГУ.</t>
  </si>
  <si>
    <t>Игровой день в ИХиБ в рамках комплекса мероприятий "Игротека в КБГУ"</t>
  </si>
  <si>
    <t>В рамках комплекса мероприятий по проведению игротек на структурных подразделениях вуза, прошел очередной игровой день в ИХиБ. Студентам на выбор были предложены 4 игровые площадки, в каждой из которых они могли принять участие. Мероприятие было направлено на популяризацию настольных игр и привлечения актива в клуб.</t>
  </si>
  <si>
    <t>Еженедельный Speaking club</t>
  </si>
  <si>
    <t>В холле общежития №4 КБГУ прошел еженедельный speaking club с участием актива студенческого клуба интернациональной дружбы и иностранных обучающихся КБГУ.</t>
  </si>
  <si>
    <t>Добровольческое</t>
  </si>
  <si>
    <t>Концерт для детей из семей военнослужащих</t>
  </si>
  <si>
    <t>20.02.2023-22.02.2023</t>
  </si>
  <si>
    <t>Помощь в организации культурно-досуговой программы для детей из семей военнослужащих.Организатор мероприятия Ресурсный центр развития волонтерства КБР</t>
  </si>
  <si>
    <t>Рабочая встреча штаба #МыВместе</t>
  </si>
  <si>
    <t>Организация мероприятия</t>
  </si>
  <si>
    <t>В рамках деятельности движения #МыВместе АНО "РЦРВ КБР" прошла ознакомительная встреча по работе штаба, участие в которой приняли представители волонтерского центра КБГУ.</t>
  </si>
  <si>
    <t>21.02.2023-22.02.2023</t>
  </si>
  <si>
    <t>Окружной молодежный форум «БудеТолк»</t>
  </si>
  <si>
    <t>Викторина об экологии "ЭкоКвиз"</t>
  </si>
  <si>
    <t>Для студентов КБГУ была проведена интеллектуальная викторина "ЭкоКвиз". Мероприятие было направлено не только на проверку знаний, но и  просвещение студентов в сфере экологии.</t>
  </si>
  <si>
    <t>Кинопросмотр и обсуждение фильма "Ван Гог. На пороге вечности"</t>
  </si>
  <si>
    <t>В КБГУ для ознакомления с творчеством известного художника проведен просмотр фильма "Ван Гог. На пороге вечности" с последующим обсуждением.</t>
  </si>
  <si>
    <t>Отчетно-выборное собрание студенческого фотоклуба "FOX"</t>
  </si>
  <si>
    <t>Интеллектуальная игра "Brainstorm"</t>
  </si>
  <si>
    <t xml:space="preserve">16.02.2023
</t>
  </si>
  <si>
    <t>Интеллектуальная игра, являющаяся "интеллктуальным батлом" и состоящая из вопросов на логику.</t>
  </si>
  <si>
    <t>Отчетно-выборное собрание студенческого астрономического клуба</t>
  </si>
  <si>
    <t>Астрономический клуб КБГУ</t>
  </si>
  <si>
    <t>Интеллектуально-развлекательная киноигра "Полиглоты, общий сбор!"</t>
  </si>
  <si>
    <t>Киноклуб КБГУ</t>
  </si>
  <si>
    <t xml:space="preserve">В зале им. Х.М. Темирканова прошла культурно-развлекательная игра на тему кино и языков мира. </t>
  </si>
  <si>
    <t>Профессионально-трудовое</t>
  </si>
  <si>
    <t>Встреча студентов КБГУ с представителями Всероссийского студенческого проекта «Твой ход»</t>
  </si>
  <si>
    <t>В КБГУ прошла встреча с представителями Всероссийского студенческого проекта «Твой ход». Руководитель проекта Кристина Шенк и заместитель руководителя по организации событий Антон Коновцев рассказали студентам о реализации студенческого проекта, условиях и правилах участия. Проект создает возможности для развития и реализации способностей студентов. В 2023 году конкурсный блок включает в себя два трека: «Определяю» и «Делаю». В рамках трека «Определяю» участники могут предложить исследования по улучшению среды вуза и учебных заведений. Участники трека «Делаю» должны создать и реализовать проект в составе команды до 4 человек, включая лидера. По итогу будут определены 200 проектов, лидеры которых получат премию в размере 1 000 000 рублей.</t>
  </si>
  <si>
    <t>Партия в настольную игру "Цитадели"</t>
  </si>
  <si>
    <t>Сообщество клуба "Цитадели" провело игру для привлечения новых членов.</t>
  </si>
  <si>
    <t>Открытие студенческого медиа - клуба «КБГУСЬ»</t>
  </si>
  <si>
    <t>В зале им. Х.С. Темирканова состоялось открытие нового студенческого клуба в интерактивном формате. Были организованы 5 тематических зон, где участники знакомились с клубами и выполняли различные задания.</t>
  </si>
  <si>
    <t>Состоялось отчетно-выборное собрание студенческого фотоклуба "FOX". Был избран новый председатель клуба Таноянц Николь, обсудили дальнейшие направления и планы работы.</t>
  </si>
  <si>
    <t>Состоялось отчетно-выборное собрание студенческого астрономического клуба. Был избран новый председатель клуба Бекулова Ляна, обсудилли дальнейшие направления и планы работы.</t>
  </si>
  <si>
    <t>Своя игра (литературная)</t>
  </si>
  <si>
    <t>Тренинг "Психология общения"</t>
  </si>
  <si>
    <t>В творческой мастерской им. А,Н. Сокурова прошла интеллектуальная литературная игра с вопросами о художественной, детской, азиатской литературе.</t>
  </si>
  <si>
    <t>Турнир по мини-футболу среди иностранных студентов</t>
  </si>
  <si>
    <t>С целью организации активного досуга и социализации студентов подготовительного отделения на этих выходных был проведен турнир по мини-футболу. Соревнование было организовано Клубом интернациональной дружбы и спортивно-патриотическим клубом "Lime" по инициативе кураторов ВШМО. Почти сотня участников, 14 команд и лишь семь победителей. Выиграла турнир команда "Аль-Ахли", обойдя в финале "TheGunners".</t>
  </si>
  <si>
    <t>В зале им. Х.С. Темирканова состоялась тренинг-лекция на тему общения и коммуникаций. Лектором выступила преподаватель инстиута педагогики, психологии и физкультурно-спортивного образования Багова Р.Х., такж были продемонстрированы различные психологические практики.</t>
  </si>
  <si>
    <t>Мастер-класс по шахматам для начинающих игроков в рамках турнира "Кубок Первокурсника по быстрым шахматам"</t>
  </si>
  <si>
    <t>Состоялось первое обучающее занятие по шахматам для начинающих игроков в рамках турнира "Кубок Первокурсника по быстрым шахматам". Занятие провела Жилова Аделина - кандидат в мастера спорта России по шахматам, многократная чемпионкаКабардино-Балкарской республики.</t>
  </si>
  <si>
    <t>Субботник в г. Нальчик (курортная зона "Кизиловка")</t>
  </si>
  <si>
    <t>КБР, г. Нальчик, курортная зона "Кизиловка"</t>
  </si>
  <si>
    <t>ТЭО «Зеленый дозор» совместно со студенческим советом КБГУ, Региональными движениями волонтёров-экологов «Делай» и «Эко КБР» провели субботник по очистке территории в курортной зоне г. Нальчик. Благодаря активному сотрудничеству нашего вуза с ООО «Экологистика», весь собранный мусор будет вывезен и правильно утилизирован.</t>
  </si>
  <si>
    <t>Отчетно-выборное собрание профбюро КИТиЭ</t>
  </si>
  <si>
    <t>С целью переизбрания нового председателя профбюро КИТиЭ и обсуждения дальнейших ветвей и планов работы проведено отчнотно-выборное собрание профбюро КИТиЭ.</t>
  </si>
  <si>
    <t>В рамках комплекса мероприятий по проведению игротек на структурных подразделениях вуза, прошел очередной игровой день в ИХиБ. Студентам на выбор были предложены 6 игровых площадок, в каждой из которых они могли принять участие. Мероприятие было направлено на популяризацию настольных игр и привлечения актива в клуб.</t>
  </si>
  <si>
    <t>Собрание актива литературного клуба "Поболтаем"</t>
  </si>
  <si>
    <t xml:space="preserve">Прошло собрание литературного клуба, обсудили прочтенные книги и ближайшие мероприятия. </t>
  </si>
  <si>
    <t>Региональный этап Всероссийского конкурса «Студенческий лидер – 2023»</t>
  </si>
  <si>
    <t>Региональный этап Всероссийского конкурса «Студенческий лидер – 2023» прошел вчера в творческой мастерской А.Н. Сокурова.  
Более 60 заявок, 15 студентов, прошедших в отборочный тур, и только 5 финальных участников одного из главных конкурсов от Профсоюзной организации КБГУ. 
Конкурсанты получили возможность проявить лидерские навыки, представить авторские проекты и показать знания всех сфер работы Профсоюзной организации. 
В финал вышли: 
1 место – Нурмухамед Кашироков, магистрант 1 г. о.  ИАСиД  
2 место – Олег Чеченов, студент 3 курса ИИИиЦТ 
3 место – Марат Бицуев, студент 2 курса СГИ 
4 место – Азамат Кучмезов, студент 1 курса ИИИиЦТ  
5 место – Алина Ахметова, студентка 1 курса ИППиФСО и ПК.</t>
  </si>
  <si>
    <t>Региональный</t>
  </si>
  <si>
    <t xml:space="preserve">В творческой мастерской А.Н. Сокурова состоялся музыкальный концерт в преддверии Дня Возрождения балкарского народа. Поздравить присутствующих собрались народные артисты КБР, заслуженные деятели культуры и искусства: Черим Нахушев, Амур Текуев, Султан Хажироко (Ураган), Эльдар Жаникаев. С красочными номерами выступили народные ансамбли: «Насып» и «Терские казаки». </t>
  </si>
  <si>
    <t>Праздничный концерт, посвященный Дню возрождения балкарского народа</t>
  </si>
  <si>
    <t>Спортивные подготовительные сборы сборной команды КБГУ по футболу</t>
  </si>
  <si>
    <t>28.03.2023-01.04.2023</t>
  </si>
  <si>
    <t>КБР, п. Эльбрус, ЭУНК КБГУ</t>
  </si>
  <si>
    <t>Сборная команда КБГУ провела спортивные сборы на базе ЭУНК КБГУ в рамках подготовки к всероссийским соревнованиям по футболу.</t>
  </si>
  <si>
    <t>Кубок Первокурсника по быстрым шахматам</t>
  </si>
  <si>
    <t>31 марта состоялся Кубок Первокурсника КБГУ по быстрым шахматам! В турнире приняли участие 16 студентов. С абсолютным результатом (7 побед из 7) победителем стал Чочаев Ислам. Серебряным призером стал Толгуров Алан, на один балл отставший от победителя. 3 место занял Дугулубгов Ислам, набравший 4,5 очка из 7 возможных.</t>
  </si>
  <si>
    <t>03.04.2023-04.04.2023</t>
  </si>
  <si>
    <t>Молодежный образовательный семинар по студенческому бизнесу «Предпринимай»</t>
  </si>
  <si>
    <t>Межрегиональный</t>
  </si>
  <si>
    <t>Делегация КБГУ во главе с и.о. проректора по молодежной политике, воспитательной работе и социальным вопросам Султаном Геккиевым прибыла на молодежный образовательный семинар по студенческому бизнесу «Предпринимай».  
Форум стартовал 3 марта на базе Молодежного многофункционального патриотического центра «Машук». За два дня студенты посетили лекции и мастер-классы по построению бизнеса. Семинар завершится сегодня.</t>
  </si>
  <si>
    <t>Показ и обсуждение фильма "Дьявол носит Прада"</t>
  </si>
  <si>
    <t>Игротека "Психологическая игра "Бункер""</t>
  </si>
  <si>
    <t>Региональный тур "Презентация проекта "Твой Ход""</t>
  </si>
  <si>
    <t>В КБГУ была организована презентация Всероссийского студенческого проекта "Твой ход". Представители проекта провели динамичную презентацию, квиз и розыгрыши для студентов. Самые активные студенты рассказали про свои сильные стороны и амбиции, практику их участия в проекте.</t>
  </si>
  <si>
    <t>Была организована игровая площадка, где студентам предложили участие в известной психологической игре, основанной на мысленном эксперименте.</t>
  </si>
  <si>
    <t>Международная научная конференция студентов, аспирантов и молодых ученых "Перспектива 2023"</t>
  </si>
  <si>
    <t>УМПиВР КБГУ, УНИиД КБГУ</t>
  </si>
  <si>
    <t xml:space="preserve">Очный </t>
  </si>
  <si>
    <t>Отчетно - выборная конференция студентов КБГУ</t>
  </si>
  <si>
    <t>Дебаты кандидатов на пост председателя Студенческого совета КБГУ</t>
  </si>
  <si>
    <t>На волнующие студентов вопросы попытались ответить кандидаты на должность председателя Студенческого совета в рамках открытого диалога со студентами. В культурном центре им. Х.С. Темирканова собрались активисты всех структурных подразделений вуза для того, чтобы поддержать претендентов и услышать их мнения на различные темы, касающиеся деятельности Студсовета КБГУ.</t>
  </si>
  <si>
    <t>Открытая лекция помощника секретаря Совета безопасности РФ Мухитова Н.М.</t>
  </si>
  <si>
    <t xml:space="preserve">Добровольческое </t>
  </si>
  <si>
    <t>Семинар УФАС</t>
  </si>
  <si>
    <t>Первенство России по футзалу</t>
  </si>
  <si>
    <t>Иготека для студентов ИППиФСО и ПК</t>
  </si>
  <si>
    <t>Игротека проводилась в рамках посещения Клубом структурных подразделений вуза. Участникам на выбор было предложенно несколько игровых площадок. Одиниз участников принёс свою настольную игру.</t>
  </si>
  <si>
    <t xml:space="preserve">Региональный </t>
  </si>
  <si>
    <t>Всероссийский</t>
  </si>
  <si>
    <t>Вузовский</t>
  </si>
  <si>
    <t>03.04.2023-12.04.2023</t>
  </si>
  <si>
    <t>Конкурс рисунков и рассказов "Видение космического будущего"</t>
  </si>
  <si>
    <t>Телеграм-канал клуба</t>
  </si>
  <si>
    <t>Онлайн</t>
  </si>
  <si>
    <t>Студенческим астрономическим клубом был проведен онлайн-конкурс рисунков и рассказов "Видение космического будущего", посвященный Всероссийскому Дню Космонавтики.</t>
  </si>
  <si>
    <t>В КБГУ Мухитовым Наилем Мансуровичем была проведена открытая лекция о современной социально-политической ситуации в мире и роли России в становлении государственности других стран, а также по профилактике экстремизма и асоциального поведения в молодежной среде.
Перед лекцией состоялось торжественное возложение цветов к Памятнику сотрудникам правоохранительных органов, погибших при выполнении служебных обязанностей, и Памятнику сотрудникам и студентам, погибшим в годы Великой Отечественной войны.
В лекции были подняты самые актуальные вопросы: патриотическое воспитание молодёжи, текущие проблемы современного общества, влияние западных СМИ на формирование современной повестки. Студенты могли задать интересующие вопросы.
Гостями мероприятия стали депутат Государственной Думы Федерального Собрания Российской Федерации, выпускник Кабардино-Балкарского Государственного Университета Адальби Люлевич Шхагошев, секретарь Совета по экономической и общественной безопасности Кабардино-Балкарской Республики Казбек Борисович Тутаев.</t>
  </si>
  <si>
    <t>Прошли выборы председателя в Главный студенческий совет КБГУ.  В киноконцертном зале им. А. Н. Сокурова собрались 180 представителей студенческого актива, чтобы выбрать нового председателя. Новый председатель главного студсовета КБГУ - Марьяна Варитлова, будет два года возглавлять подразделение!</t>
  </si>
  <si>
    <t>Проведен первый региональный семинар-совещание общественных советов при территориальных органах ФАС России в СКФО.</t>
  </si>
  <si>
    <t>Набор в актив студенческого киберспортивного клуба</t>
  </si>
  <si>
    <t>Киберспортивный клуб проводил набор в состав актива клуба.</t>
  </si>
  <si>
    <t>Встреча с амбассадорами «Таврида.Арт»</t>
  </si>
  <si>
    <t>Как попасть на фестивали? Какие проекты побеждают? Что необходимо учитывать при реализации проекта в первую очередь?
В КБГУ состоялась встреча с региональными амбассадорами арт-кластера «Таврида – 2023». Гости КБГУ – Халимат Сарбашева и Милана Боготова – рассказали о своем опыте участия, об интересных людях, проектах и идеях, о самореализации и творческом вдохновении.</t>
  </si>
  <si>
    <t>Отчетно-выборное собрание волонтерского центра КБГУ</t>
  </si>
  <si>
    <t>В культурном центре им. Х.С. Темирканова выбрали нового руководителя Волонтерского центра КБГУ. Им стал студент 4 курса ИППиФСО Алим Бжихов.</t>
  </si>
  <si>
    <t>Всероссийская акция «Единый урок «Без срока давности»</t>
  </si>
  <si>
    <t>Межрегиональный молодежный патриотический слет «Мы патриоты России!»</t>
  </si>
  <si>
    <t>Студенты медицинского колледжа вуза принимают участие в Межрегиональном молодежном патриотическом слете «Мы патриоты России!». Форум, посвященный 78-й годовщине Великой Победы, организован Национальной Ассоциацией офицеров запаса «МЕГАПИР», руководителем которой является полковник Жашарбек Атаев.Слет проводится в рамках Всероссийского проекта «Эстафета патриотизма».</t>
  </si>
  <si>
    <t>19.04.2023-21.04.2023</t>
  </si>
  <si>
    <t>Лекция о моде "Lensuel"</t>
  </si>
  <si>
    <t>Для актива студенческого клуба о моде прошла увлекательная лекция о том, как не потерять свою индивидуальность в мире моды. Гость встречи - Куржиева Лена - дизайнер одежды.</t>
  </si>
  <si>
    <t>19 апреля Кабардино-Балкарский государственный университет им. Х.М. Бербекова присоединился ко дню единых действий в рамках проекта «Без срока давности». Лекцию прочитал кандидат исторических наук, зав. кафедрой всеобщей истории Наталья Лаврова.В формате видеофильмов «Без срока давности» и «Битва за Ленинград», основанных на хронике, и деловой игры участники разобрали понятия «нацизм», «фашизм», «геноцид», изучили факты и хронику преступлений нацистов в отношении мирных жителей, установили причинно-следственные связи между событиями прошлого и настоящим.</t>
  </si>
  <si>
    <t>Лекция "Настоящий отаку"</t>
  </si>
  <si>
    <t xml:space="preserve">Студенческий клуб азиатской культуры провел мероприятие, посвященное графической литературе стран Азии, в частности - Японии и Южной Кореи.
</t>
  </si>
  <si>
    <t>День невербального общения в КБГУ</t>
  </si>
  <si>
    <t>Для студентов КБГУ было организовано мероприятие, которое состояло из двух частей: 1. Просмотр и обсуждение франко-японского мультфильма без диалогов "Красная черепаха"; 2. Тренинги, направленные на знакомство с принципами невербальных коммуникаций. Обе части были проведены в центре культуры им. Х.С. Темирканова. По итогам мероприятия участники оставили положительные отзывы.</t>
  </si>
  <si>
    <t>Международный</t>
  </si>
  <si>
    <t>В ЭУНК КБГУ прошла международная научная конференция. За несколько дней была реализована зашита научных статей студентов, аспирантов и молодых ученых из разных регионов РФ и иностранных государств, авторы лучших исследований были награждены ценными призами от организаторов конференции, гости республики и студенты КБГУ побывали на поляне Азау в рамках организованной экскурсии, участники конференции посетили внепрограммные события: лекции экспертов из государственных университетов Санкт-Петербурга и Казани, интеллектуально-развлекательные игры и психологические тренинги.</t>
  </si>
  <si>
    <t xml:space="preserve">Физическое </t>
  </si>
  <si>
    <t>Комплексные всероссийские соревнования сезона 2023 (Национальная студенческая футбольная лига) 1 тур</t>
  </si>
  <si>
    <t xml:space="preserve">С 26 по 29 апреля в Ессентуках на стадионе «Ессентуки Арена» проходит четвёртый межрегиональный турнир группы «Б» Высшего дивизиона Национальной студенческой футбольной лиги (Комплексные всероссийские соревнования) сезона 2023 года. Программу первого тура в этой группе закроют сборные МГПУ им. М. Е. Евсевьева (Саранск), СПГУ, ПГНИУ(Пермь)  и КБГУ им. Х.М. Бербекова (Нальчик). По итогам соревнований команды получат свои первые очки в новом сезоне. </t>
  </si>
  <si>
    <t>Всероссийская олиммпиада школьников по ОБЖ</t>
  </si>
  <si>
    <t>24.04.2023-28.04.2023</t>
  </si>
  <si>
    <t>Конференция СКФО "Digital навыки и цифровые сервисы для самозанятых</t>
  </si>
  <si>
    <t>Международная патриотическая акция «Диктант победы»</t>
  </si>
  <si>
    <t>Ровно в полдень к официальному открытию акции «Диктант победы» подключился КБГУ – более 350 участников из числа студентов и преподавателей вуза. 
На университетской площадке выступили: председатель совета ветеранов КБГУ Хасан Шурдумов и заведующая кафедрой всеобщей истории, кандидат исторических наук Наталья Лаврова.   
Они отметили, что значение акции неимоверно велико; «Диктант победы» – это не только проверка знаний, но и сохранение исторической памяти, патриотического начала, уважительного отношения к подвигам советских солдат. 
Всего в Кабардино-Балкарской Республике было организовано 68 локаций по проведению «Диктанта победы».</t>
  </si>
  <si>
    <t>«Просветительский марафон «Знание.Первые»».</t>
  </si>
  <si>
    <t>г. Пятигорск, центр знаний "Машук"</t>
  </si>
  <si>
    <t>На базе Центра знаний Машук проходит «Просветительский марафон «Знание.Первые»». С 24 по 26 апреля приглашённые эксперты рассказывали о перспективах самореализации, которые открыты молодым людям в современной России.
Участниками третьего дня марафона стали и студенты КБГУ.
Программа третьего дня марафона посвящена возможностям молодёжи в современной России.
О тенденциях на рынке труда, многообразии вариантов трудоустройства для молодых специалистов, новых профессиях и сферах деятельности расскажут множество экспертов, включая Главу Кабардино-Балкарской Республики, российского гимнаста, олимпийского чемпиона, чемпиона мира и Европы, художника, общественного деятеля, продюсера международного фестиваля «Культурный код». И это ещё далеко не всё!
После лекции Кокова Казбека Валерьевича «Фактор успеха. Роль комфортной городской среды в развитии молодежи и страны» студентам удалось пообщаться с Главой КБР и задать волнующие их вопросы.</t>
  </si>
  <si>
    <t>29-30 апреля 2023 года на базе Кабардино-Балкарского государственного университета им. Х. М. Бербекова прошёл обучающий семинар для студентов, которые уже 24 мая приступят к мониторингу процедур государственной итоговой аттестации.</t>
  </si>
  <si>
    <t>Фестиваль художественного творчества студентов КБГУ «Студенческая весна-2023»</t>
  </si>
  <si>
    <t>Встреча студентов вуза и учащихся общеобразовательных организаций КБР с директором Национального открытого чемпионата творческих компетенций «ArtMasters» (Мастера искусств)</t>
  </si>
  <si>
    <t>Состоялся межрегиональный форум представителей креативных индустрий «Культурный код Кавказа», участие в котором приняли студенты КБГУ.   
Двухдневная образовательная программа объединила представителей локального бизнеса в сфере креативных индустрий и деятелей современного искусства.   
Мастер-классы и образовательные площадки для представителей творческой и учащейся молодежи вызвали живой интерес и отклик среди студентов КБГУ.</t>
  </si>
  <si>
    <t>В КБГУ прошел ежегодный фестивал художественного творчества "Студенческая весна". Яркие и сложные номера, красочные спецэффекты и непревзойденная поддержка зала. Проведение фестиваля стало доброй традицией для всех причастных к студенческой жизни. Поболеть за ребят приходили не только студенты, но и преподаватели КБГУ. Четыре дня, четыре тематических программы: музыка, танцы, театр и оригинальный жанр. 259 номеров и более 22 часов, проведенных в творческой мастерской А.Н. Сокурова.</t>
  </si>
  <si>
    <t>г. Минводы, МВЦ "Минводы-Экспо"</t>
  </si>
  <si>
    <t>Первая Кавказская инвестиционная выставка</t>
  </si>
  <si>
    <t>На площадке МВЦ «МинводыЭКСПО», г. Минеральные Воды, состоялась Первая Кавказская инвестиционная выставка, в которой приняли участие студенты КБГУ. 
Ключевой повесткой деловой программы мероприятия стало обсуждение инвестиционного и туристического потенциала Северного Кавказа: были презентованы новые бизнес-идеи, а также актуальные направления и стратегии развития региона. 
В течение двух дней проходила серия круглых столов, дискуссий и встреч, посвященных вопросам инфраструктуры, агропромышленного комплекса, туристической и логистической отраслей, были затронуты вопросы кадрового резерва,банковского сектора, ЖКХ и энергетики. 
В деловой программе мероприятия приняли участие руководители органов государственной власти, представители российских и международных компаний, средств массовой информации, молодежного и научного сообществ.
Организатором мероприятия является Фонд Росконгресс. Стратегический партнер – АО «Кавказ.РФ».</t>
  </si>
  <si>
    <t>Межрегиональный форум представителей креативных индустрий "Культурный код Кавказа"</t>
  </si>
  <si>
    <t>Поднятие флагов Победы на территории кампуса КБГУ</t>
  </si>
  <si>
    <t>УМПиВР КБГУ, Студенческий совет КБГУ</t>
  </si>
  <si>
    <t>В рамках всероссийской акции на территории КБГУ подняты флги Победы (Информационный корпус, корпус Педагогического колледжа, здание ректората, главный учебный корпус, корпус медицинского колледжа).</t>
  </si>
  <si>
    <t>Всероссийская патриотическая акция #ОкнаПобеды</t>
  </si>
  <si>
    <t>КБР, ул. Горького, 17/92</t>
  </si>
  <si>
    <t>УМПиВР КБГУ, администрация медицинского колледжа КБГУ</t>
  </si>
  <si>
    <t>В рамках всероссийской акции в корпусе Медицинского колледжа и в общежитии №7 были оформлены окна с помощью рисунков, картинок, фотографий и надписей, посвященных Победе советского народа над фашизмом в Великой Отечественной войне.</t>
  </si>
  <si>
    <t>Всероссийская акция "Георгиевская ленточка"</t>
  </si>
  <si>
    <t>КБГУ принял участие во Всероссийской акции "Георгиевская ленточка". Студентам и сотрудникам университета в преддверие праздника на различных мероприятиях и площадках были розданы георгиевские ленточки.</t>
  </si>
  <si>
    <t>Возложение цветов к памятнику выпускникам Медицинского колледжа, которые погибли в годы Великой Отечественной войны.</t>
  </si>
  <si>
    <t>К памятникам участников ВОВ на территории КБГУ были возложены цветы студентами и сотрудниками университета.</t>
  </si>
  <si>
    <t>Возложение цветов к памятнику сотрудникам и студентам КБГПИ (КБГУ), погибшим в годы Великой Отечественной войны</t>
  </si>
  <si>
    <t>Детский сад КБГУ</t>
  </si>
  <si>
    <t>К памятникам участников ВОВ на территории КБГУ были возложены цветы представителями детского сада (ранее при КБГУ).</t>
  </si>
  <si>
    <t>Возложение цветов к памятнику сотрудникам и студентам КБГПИ (КБГУ), погибшим в годы Великой Отечественной войны, администрацией вуза</t>
  </si>
  <si>
    <t>В день 78-й годовщины Победы советского народа в Великой Отечественной войне, в КБГУ почтили память тех, кто на фронте и в тылу, не жалея сил, ковал Великую Победу. В 9 часов в университетском сквере прошло возложение цветов к памятнику, воздвигнутому в честь сотрудников, преподавателей и студентов вуза, которые сложили головы в борьбе с фашистской Германией.</t>
  </si>
  <si>
    <t>УМПиВР КБГУ, Профсоюзная организация работников КБГУ</t>
  </si>
  <si>
    <t xml:space="preserve">Участие в комплексных всероссийских соревнованиях сезона 2023 2-й тур (Национальная студенческая футбольная лига) </t>
  </si>
  <si>
    <t>С 11 по 14 мая в Ессентуках на стадионе «Ессентуки Арена» проходит шестой  межрегиональный турнир группы «Б» Высшего дивизиона Национальной студенческой футбольной лиги (Комплексные всероссийские соревнования) сезона 2023 года. Во втором туре сыграют 4 команды: АМВД ДНР (Донецк), КБГУ им. Х.М. Бербекова (Нальчик),  БГТУ (Белгород) и ЮРГПУ (Новочеркасск).</t>
  </si>
  <si>
    <t>Открытая лекция президента  Научно-исследовательского центра «Курчатовский институт», член-корреспондента Российской академии наук Ковальчука Михаила Валентиновича</t>
  </si>
  <si>
    <t>Выставка костюмов из кинофильма «Фауст» Александра Сокурова</t>
  </si>
  <si>
    <t>Весенняя серия игр "Что? Где? Когда?" в КБГУ</t>
  </si>
  <si>
    <t xml:space="preserve">С целью раскрытия интеллектуального разнообразия среди сотрудников вуза организована и проведена весенняя серия игр "ЧГК" в КБГУ. </t>
  </si>
  <si>
    <t>Встреча с руководством КБГУ "Диалог. Проректоры"</t>
  </si>
  <si>
    <t>УМПиВР КБГУ, Медиацентр КБГУ</t>
  </si>
  <si>
    <t>В культурном центре им. Х.С. Темирканова состоялась встреча с проректорами КБГУ по кадровым и организационным вопросам, по стратегическому развитию и международным связям, по организации приёма и довузовской деятельности,  по НИР. Студенты всех структурных подразделений университета получили возможность задать интересующие их вопросы и принять участие в обсуждении тех или иных тем.</t>
  </si>
  <si>
    <t>В культурном центре им. Х.С. Темирканова состоялась встреча с проректором КБГУ по молодежной политике, воспитательной работе и социальным вопросам. Студенты всех структурных подразделений университета получили возможность задать интересующие их вопросы и принять участие в обсуждении тех или иных тем.</t>
  </si>
  <si>
    <t xml:space="preserve">Научно-образовательное  </t>
  </si>
  <si>
    <t xml:space="preserve">Экскурсия в Музей живой природы НОЦ «Ботанический сад» КБГУ </t>
  </si>
  <si>
    <t>Экскурсия была проведена для студентов КБГУ. 
В ходе экскурсии участники  познакомились с энтомологической коллекцией насекомых, представителями фауны, обитающими на Северном Кавказе, редкими и эндемичными видами. 
Целью являлось развитие экологической культуры обучающихся, формирование бережного отношения к природе, усвоение ими конкретных сведений о животных.</t>
  </si>
  <si>
    <t>Спортивно-патриотический клуб КБГУ "Лайм", Психологический клуб КБГУ</t>
  </si>
  <si>
    <t xml:space="preserve">В Темиркановском зале прошел психологический тренинг, участники которого обсудили спорт, зож и психологию. Также обсудили влияние психологического здоровья на общее здоровье человека, почему здоровье моральное идет впереди физического, какие проблемы у молодого человека, что виляет на его настроение и организм. </t>
  </si>
  <si>
    <t>Лекция от студенческого клуба моды на тему: "Как найти себя в мире Fashoin?"</t>
  </si>
  <si>
    <t xml:space="preserve">Студенческие клубы в коллаборации провели конкурс для творческих студентов, который состоял из двух этапов: воссоздать задуманный эскиз на ткани, разукрасить изделие, а следующий - это сфотографировать это изделие. </t>
  </si>
  <si>
    <t>1-й открытый Чемпионат и Первенство Чегемского района по мас-рестлингу</t>
  </si>
  <si>
    <t xml:space="preserve">12-13 мая в г.Чегем прошел 1-й открытый Чемпионат и Первенство Чегемского района по мас-рестлингу. В Соревнованиях 5 воспитанников секции по силовым видам спорта стали победителями в 5 весовых категориях. </t>
  </si>
  <si>
    <t>Настольная ролевая игра "D&amp;D Lite. 2"</t>
  </si>
  <si>
    <t>КБР, г. Нальчик, КБГУ, ул. Чернышевского, 181</t>
  </si>
  <si>
    <t>В товарищеском соревновании по Доте-2 приняло участие два состава игроков от вузов. Матч состоялся в формате двух серий до трёх побед. Спонсором выступила сеть компьютерных клубов «Мега».</t>
  </si>
  <si>
    <t>Турнир по UFS от Киберспортивного клуба </t>
  </si>
  <si>
    <t>В КБГУ состоялся турнир по UFS от Киберспортивного клуба КБГУ. Поддержка зрительского зала, виртуальные бои и только искренние эмоции.</t>
  </si>
  <si>
    <t>18 мая в рамках мероприятий антитеррористической акции "Сообщи, где торгуют смерть" в кинотеатре "Кругозор" прошла киноакция "Жизнь без наркотиков".
Студентам КБГУ рассказали о вреде наркотических средств и уголовной ответственности за из распространение, а также показали фильм "Дрянь".</t>
  </si>
  <si>
    <t>КБР, г. Нальчик, кинотеатр "Кругозор"</t>
  </si>
  <si>
    <t>Участие в антитеррористической акции "Сообщи, где торгуют смерть" в кинотеатре "Кругозор"</t>
  </si>
  <si>
    <t>Выставка "Герои в лицах"</t>
  </si>
  <si>
    <t>Встреча с проректором КБГУ по МПВРиСВ "Диалог. Социальные вопросы и материальная поддержка"</t>
  </si>
  <si>
    <t>В аудитории №334 главного корпуса КБГУ прошло культурно-творческое мероприятие в формате настольно-ролевой игры. Участников поделили на четыре отдельных стола. Игрой в каждой компании руководил отдельный ведущий - Мастер Подземелий. Ведущие проводили игры независимо друг от друга по заранее приготовленному сценарию. В ходе игры за отдельные действия участников ведущими раздавалась призовая продукция (шоколадные конфеты в виде монет). Целью мероприятия являлась популяризация настольно-ролевых игр, а также активизация творческого потенциала среди участников.</t>
  </si>
  <si>
    <t>Встреча студентов вуза с делегацией «Совет ветеранов военной разведки»</t>
  </si>
  <si>
    <t>В культурном центре им. Х.С. Темирканова состоялась встреча студентов вуза с делегацией «Совет ветеранов военной разведки», куда входят представители сразу трех общественных организаций – Российской, Белорусской и Сербской. 
От имени руководства КБГУ гостей поприветствовал и.о. проректора по организации приема и довузовской деятельности, профессор Арсен Хараев, отметив важность и необходимость данной встречи в стенах университета.  
О героической службе во имя любви к Родине, о важных эпизодах истории России, о культуре и жизненных ценностях: обсуждаемые темы стали важной составляющей патриотического воспитания молодого поколения.
Утром Совет ветеранов военной разведки возложили цветы к памятнику сотрудников и студентов КБГУ, погибшим во времена Великой Отечественной Войны.</t>
  </si>
  <si>
    <t>Коллаборация со спортивно-патриотическим клубом "Lifestyle"</t>
  </si>
  <si>
    <t>Панельная дискуссия с Тенгизом Чеченовым</t>
  </si>
  <si>
    <t>Клуб интернациональной дружбы КБГУ, Киноклуб КБГУ</t>
  </si>
  <si>
    <t>Научный клуб КБГУ «Maxwell»</t>
  </si>
  <si>
    <t>Студенческий правовой клуб КБГУ</t>
  </si>
  <si>
    <t>Студпрофбюро СГИ КБГУ</t>
  </si>
  <si>
    <t>Творческий клуб КБГУ "ART club"</t>
  </si>
  <si>
    <t>Фото клуб КБГУ "FOX"</t>
  </si>
  <si>
    <t>В КБГУ состоялась панельная дискуссия с председателем одного из лучших интерклубов страны, победителем конкурса "МежнацЛидер - 2022", студентом МГСУ, Тенгизом Чеченовым. На встрече обсудили актуальные проблемы межкультурных взаимодействий, траекторию развития клубов и планы сотрудничества в ближайшем будущем. Участниками мероприятия стали активисты-организаторы ИнтерКлуба и специально приглашенные спикером гости.</t>
  </si>
  <si>
    <t>Участие во всероссийской акции "Собирай КБГУ" (УМПиВР КБГУ)</t>
  </si>
  <si>
    <t>Участие во всероссийской акции "Собирай КБГУ" (дирекции структурных подразделений)</t>
  </si>
  <si>
    <t>Сотрудники КБГУ приняли участие во всероссийской акции по сбору макулатуры. Всего было собрано макулатуры более 50 кг.</t>
  </si>
  <si>
    <t>Сотрудники КБГУ приняли участие во всероссийской акции по сбору макулатуры. Всего было собрано макулатуры более 100 кг.</t>
  </si>
  <si>
    <t xml:space="preserve">Участие во всероссийской акции «ПроМакулатуру КБГУ» 
(ИИИиЦТ) </t>
  </si>
  <si>
    <t>В КБГУ прошел образовательный интенсив «ПроМакулатуру_КБГУ» для  студентов института искусственного интеллекта и цифровых технологий в рамках Всероссийской народной акции «Миллион-Родине!». На повестке дня были рассмотрены и обсуждены вопросы: "Что такое макулатура?", "Что экологичнее: пластиковый или бумажный стакан?".</t>
  </si>
  <si>
    <t xml:space="preserve">Участие во всероссийской акции «ПроМакулатуру КБГУ» 
(ИППиФСО и ПК) </t>
  </si>
  <si>
    <t>Квест-конвейер для учеников 8-х классов МКОУ СОШ №6 г.о. Нальчик "Эко_В_Школе"</t>
  </si>
  <si>
    <t>В МКОУ СОШ №6 г.о. Нальчик состоялся квест-конвейер «Эко_В_Школе» для учеников 8-х классов. Целью образовательного интенсива стало повышение уровня экограмотности у школьников. Ученики узнали про федеральную программу
"Зеленая Лига", "Мастерскую переработки КБГУ", а также приняли участие во Всероссийской
Народной акции "Миллион-Родине!", переработав бумагу и сделав открытки. Все желающие узнали о деятельности ТЭО КБГУ "Зеленый Дозор" и Республиканского отделения волонтеров-экологов "Делай!" и "EcoKBR".</t>
  </si>
  <si>
    <t>Награждение призеров и победителей XXXIX Спартакиады студентов и аспирантов КБГУ</t>
  </si>
  <si>
    <t>Кубок посвященный памяти В.М. Обуховского (Кубок СКФО и ЮФО) по баскетболу среди мужских команд</t>
  </si>
  <si>
    <t xml:space="preserve">23 мая прошло торжественное награждение призеров и победителей XXXIX Спартакиады студентов и аспирантов КБГУ. Победители и призеры были награждены Кубками, медалями, грамотами и подарочными сертификатами. </t>
  </si>
  <si>
    <t>С 24 по 28 мая в г.Ессентуки проходит Кубок посвященный памяти В.М. Обуховского (Кубок СКФО и ЮФО) по баскетболу среди мужских коман. Всего в Кубке участвуют 5 команд: Динамо (Грозный), Спарта-Куб ГТУ (Краснодар), РГБУ(Черкесск), Грифоны(Республик Крым) и команда КБГУ(Нальчик).</t>
  </si>
  <si>
    <t>КБР, г. Нальчик, Атажукинский сад</t>
  </si>
  <si>
    <t>22 мая на базе КБГУ в Приэльбрусье прошел образовательный форумп предпринимательского направления, посвященный всероссийской студенческой площадке "Твой Ход". Серия лекций от амбассадоров проекта закончилась обшим тестированием и добавлнением новых амбассадопров, прошли площадки, направленные на командообразование.</t>
  </si>
  <si>
    <t>Форум "Твой Ход в КБГУ"</t>
  </si>
  <si>
    <t xml:space="preserve">Форум "КБГУ в деле 2023" </t>
  </si>
  <si>
    <t xml:space="preserve">Спортивный патриотический забег "Lime" </t>
  </si>
  <si>
    <t>КБР, г. Нальчик, КБГУ, Атажукинский парк, Теренкур-100 ступенек.</t>
  </si>
  <si>
    <t>23 мая на базе КБГУ прошел образовательный форум предпринимательской направленности "КБГУ в деле 2023", посвященный просвещению в области проектной деятельности. Прошли лекции по созданию и медиаосвещению проектной деятельности, после чего прошла проектная сессия по командам, в ходе которой участники получили компетенции в области проектной деятельности.</t>
  </si>
  <si>
    <t>В Атажукинском парке, а далее и на теренкуре прошел спортивно-патриотический забег с целью создания площадок для развития спортивных и патриотических направлений. Маршурт пролегал от Чайного домика в Атажукинском парке до теренкура "1000 ступенек". В конце маршрута участников ждали площадки по спортивной подготовке, а за лучшие результаты участников ждали награды.</t>
  </si>
  <si>
    <t>Всероссийская акция "Убери за собой"</t>
  </si>
  <si>
    <t>г. Пермь</t>
  </si>
  <si>
    <t>Участие команды КБГУ во Всеросскийской студенческой весне</t>
  </si>
  <si>
    <t>Участие команды КБГУ в Республиканской студенческой весне</t>
  </si>
  <si>
    <t>Открытый Международный турнир по крикету среди студенческих команд вузов РФ</t>
  </si>
  <si>
    <t>г. Ессентуки</t>
  </si>
  <si>
    <t>КБР, г. Нальчик,
ул. Захарова 77, МКОУ 
СОШ №6</t>
  </si>
  <si>
    <t>КБР, г. Нальчик, "МЕГА"</t>
  </si>
  <si>
    <t>КБР, г. Чегем</t>
  </si>
  <si>
    <t>КБР, г. Нальчик, Культурно-образовательном центре «Эрмитаж-Кавказ»</t>
  </si>
  <si>
    <t>КБР, г. Нальчик, ФСК КБГУ, ул. Толстого, 184</t>
  </si>
  <si>
    <t>КБР, г. Нальчик, Адаптационная школа "Гладиатор"</t>
  </si>
  <si>
    <t>Иностранные студенты КБГУ приняли участие в Открытом Международном турнире по крикету среди студенческих команд вузов РФ. Соревнования проходили с 23 по 24 мая в Пермском государственном медицинском университете. Турнир был посвящен празднованию 300-летия города Перми и для популяризации крикета в Российской Федерации. Всего в соревнованиях принимали участие 8 команд, студенты КБГУ дошли до полуфинала.</t>
  </si>
  <si>
    <t xml:space="preserve">Представители многофункционального молодежного центра провели встречу со студентами КБГУ, в рамках которой рассказли о  форумных компаниях предстоящих сезонов: лета и осени. Информационная часть содержала презентации и видеоролики. Студенты задали интересующие их вопросы. </t>
  </si>
  <si>
    <t>Знакомство с форумными компаниями РФ (лето-осень 2023 г.)</t>
  </si>
  <si>
    <t xml:space="preserve">XXXIX Спартакиада студентов и аспирантов КБГУ </t>
  </si>
  <si>
    <t>Творческий конкурс «Кавказская культура и киберпанк»</t>
  </si>
  <si>
    <t xml:space="preserve">С 3 по 28 апреля 2023 г. на спортивных площадках КБГУ прошла XXXIX Спартакиада студентов и аспирантов КБГУ. Соревнования прошли по 7 видам спорта: волейбол, баскетбол, мини-футбол, бадминтон, настольный теннис, шахматы и гиревой спорт. В общем в соревнованиях участвовали 463 человека. По всем видам спорта определены победители и призера, которые награждены кубками, медалями, грамотами и подарочными сертификатами. </t>
  </si>
  <si>
    <t>Творческий клуб КБГУ провел конкурс среди студентов. По задумке организаторов конкурс объединял две тематики: кавказская культура и киберпанк. Участники должны были в своей работе показать слияние данных тем. Для оценки работ использовались 2 критерия: техника выполнения и оригинальность. Победителями конкурса стали 1 место - Кунижева Дана Аслановна, студентка 1 курса института физики и математики, направление «Физика».  2 место - Белимготова Алина Амуровна, студентка 1 курса института архитектуры, строительства и дизайна, направление «Конструирование моделирование швейных изделий».</t>
  </si>
  <si>
    <t>Проектно-предпринимательское</t>
  </si>
  <si>
    <t>Форум "Время возможностей для самозанятых 2023"</t>
  </si>
  <si>
    <t>Участие в мероприятии</t>
  </si>
  <si>
    <t>Форум "Свое дело"</t>
  </si>
  <si>
    <t>Форум "Производительность труда 2.0"</t>
  </si>
  <si>
    <t>КБР, г. Нальчик, Конгресс-центр санаторно-курортного отеля "Синдика", ул. Пирогова, д. 1</t>
  </si>
  <si>
    <t>Студенты КБГУ стали участниками форума "Время возможностей для самозанятых 2023", организованного центром "Мой Бизнес" при поддержке Министерства экономического развития КБР. Мероприятие было направлено на широкое освещение темы самозанятости и преимуществ легального ведения бизнеса по соответствующему типу налогобложения. Открыли мероприятие заместитель министра экономического развития КБР Башоров Р.А., заместитель министра просвещения, науки и по делам молодежи КБР Мокаев А.М., министр по делам молодежи КБР Люев А.Х., директор Регионального фонда "Центр поддержки предпринимательства КБР" Дудуева М.М. Далее состоялись лекции от специаилистов в области экономики и права. Кроме специалистов, объяснивших тему самозанятости, лекции читали также известные предприниматели, такие как Карпычева А. ("Дамы с деньгами"), Саральп М. (Арт-центр "Madina Saral'p"), Дадали Д. (Салон цветов "Dadali Flower").</t>
  </si>
  <si>
    <t>Студенты КБГУ стали участниками форума "Свое дело" , организованного центром "Мой Бизнес" при поддержке Министерства экономического развития КБР, где лекторами выступали руководитель консалтинговаой компании "TRIZ Центр" Махова Н., а также множество успешных предпринимателей СКФО.</t>
  </si>
  <si>
    <t>Лекция "Зеленая лига"</t>
  </si>
  <si>
    <t>Прошла просветительская лекция по вопросам обращения с ТКО (твердыми комунальными отходами). Меропритие прошло в рамках студенческой программы ППК РЭО "Зеленая Лига".</t>
  </si>
  <si>
    <t>В Нальчике прошла Всероссийская акция "Убери за собой". Старт субботникам в 50 регионах (и только 10 из них флагманские, в том числе и в г. Нальчик) был дан на полях Х Невского международного экологического конгресса. В субботнике приняти участие студенты КБГУ. Общими усилиями было собрано около 1250 кг. мусорных отходов.</t>
  </si>
  <si>
    <t>Команда КБГУ приняла участеи во Всероссийской студенческой весне. Следующие студенты заняли призовые места: Магомед Чемаев - лауреат второй степени в номинации  «Авторская песня», Аида Аккиева заняла 3 место в номинации «Эстрадная песня. Зарубежное исполнение».</t>
  </si>
  <si>
    <t>Танцевальное мероприятие "K-dance"</t>
  </si>
  <si>
    <t>Клуб азиатской культуры КБГУ «Нить»</t>
  </si>
  <si>
    <t>Развлекательное мероприятие, посвященное хореографиям к-поп групп. В рамках мероприятия студентка КБГУ, Хапалажева Саида, провела танцевальный мастер-класс по изучению хореографии одной из популярных к-поп групп – BTS. В конце мероприятия студенты записали видеоотчет с изученным танцем.</t>
  </si>
  <si>
    <t>Марафон документального кино среди студентов и сотрудников КБГУ. Просмотр и обсуждение российского фильма "Огонь"</t>
  </si>
  <si>
    <t>В зале им. Х.М. Темирканова прошел просмотр и обсуждение российского фильма «Огонь» с участием не только студентов, но и сотрудников.</t>
  </si>
  <si>
    <t>С целью сохранения и укрепления культурно-нравственных ценностей в молодежной среде, а также совершенствования системы эстетического воспитания Министерство по делам молодежи Кабардино-Балкарской Республики совместно с Министерством просвещения и науки Кабардино-Балкарской Республики и региональным отделением Общероссийского общественно-государственного движения детей и молодежи «Движение первых» провели масштабные Республиканские фестивали «Школьная весна» и «Студенческая весна» в Кабардино-Балкарской Республике.</t>
  </si>
  <si>
    <t>КБР, г. Нальчик, Государственный концертный зал</t>
  </si>
  <si>
    <t>Клубом интернациональной дружбы совместно с другими студенческими объединениями вуза был проведен семинар-практикум, в рамках которого студенты посетили тренинги и лекции на темы межкультурных коммуникаций, массовых медиа, литературы и кино. Цель мероприятия - знакомство иностранных студентов с активностями, доступными в университете и формирование интернационального круга общения у участников. Также частью "Межкультурного диалога" стало заседание Совета землячеств университета, состоящего из студентов-представителей иностранных государств.</t>
  </si>
  <si>
    <t>Комплексное мероприятие "Межкультурный диалог. КБГУ"</t>
  </si>
  <si>
    <t>Комплексные всероссийские соревнования сезона 2023 (Национальная студенческая футбольная лига) 3 тур</t>
  </si>
  <si>
    <t xml:space="preserve">Лекция "Внешняя и внутренняя политика России: причины и цели проведения Специальной военной операции (СВО)"
</t>
  </si>
  <si>
    <t xml:space="preserve">Всероссийский </t>
  </si>
  <si>
    <t>С 7 по 10 июня в Ессентуках на стадионе «Ессентуки Арена» прошел  межрегиональный турнир группы «Б» Высшего дивизиона Национальной студенческой футбольной лиги (Комплексные всероссийские соревнования) сезона 2023 года. В третьем туре сыграли 4 команды: ПГУФКСиТ (Казань), МГУ (Саранск), СПбГУ (Санкт-Петербург) и  КБГУ им. Х.М. Бербекова (Нальчик).</t>
  </si>
  <si>
    <t>Бизнес конференция "Expo 2023"</t>
  </si>
  <si>
    <t>Центр физического воспитания, развития студенческого спорта и туризма КБГУ</t>
  </si>
  <si>
    <t>«Летний лагерь-2023» – это студенческая спортивно-оздоровительная площадка для активистов КБГУ, направленная на популяризацию здорового образа жизни. В рамках программы участники посещают различные тематические лекции, участвуют в турнирах и экскурсиях.</t>
  </si>
  <si>
    <t>«Межкультурный диалог КБГУ» – это коммуникационная школа, участниками которой стали иностранные студенты вуза. Главной целью является поддержание интернациональной дружбы, создание платформы для общения и развития диалога культур.</t>
  </si>
  <si>
    <t>Форум "Межкультурный диалог КБГУ"</t>
  </si>
  <si>
    <t>КБР, гостиница "Уштулу"</t>
  </si>
  <si>
    <t>Презентация книги «Бессмертный полк КБГУ»</t>
  </si>
  <si>
    <t>УМПиВР КБГУ, студенческий совет КБГУ</t>
  </si>
  <si>
    <t>В КБГУ состоялась презентация книги «Бессмертный полк КБГУ», вошедшей в серию изданий «Образ – КБГУ в лицах». В ней представлена информация о 530 студентах, выпускниках, сотрудниках, участвовавших в Великой Отечественной войне, кропотливо воссозданная из обрывков архивных материалов профессором Светланой Башиевой.</t>
  </si>
  <si>
    <t>Знакомство учащихся КБГУ с Кабардино-Балкарской республикой - Уштулу. 1 этап.</t>
  </si>
  <si>
    <t>УМПиВР КБГУ, клуб интернациональной дружбы КБГУ</t>
  </si>
  <si>
    <t>Окружной этап Всероссийского конкурса "Студенческий лидер - 2023"</t>
  </si>
  <si>
    <t>Первый турнир среди вузов СКФО по Кавказскому многоборью</t>
  </si>
  <si>
    <t xml:space="preserve">День молодёжи - это масштабный фестиваль, в котором приняли участие студенты КБГУ.                                                                                          В этом году гала-концерт совпал с празднованием Дня молодежи! На плацу КБГУ расположились развлекательные и игровые площадки: 5 пунктов питания, 9 малых и 3 крупных игровых, 1 интерактивная зона. Все присутствующие имели возможность попробовать специальные угощения от партнеров вуза и принять участие в розыгрыше призов. </t>
  </si>
  <si>
    <t>День молодежи в КБГУ</t>
  </si>
  <si>
    <t>УМПиВР КБГУ, Туристический клуб КБГУ "Papaha travel"</t>
  </si>
  <si>
    <t>Гала-концерт "Студенческой весны - 2023"</t>
  </si>
  <si>
    <t>На территории плаца КБГУ прошла концертная программа самого долгожданного события месяца - гала концерта "Студенческой весны 2023". Объявлены победители и призеры, вручены награды, продемонстрированы уже полюбившиеся номера Студенческой весны - 2023!</t>
  </si>
  <si>
    <t xml:space="preserve">Студенческое самоуправление </t>
  </si>
  <si>
    <t>Отчетно-выборная конференция студенческого совета СГИ</t>
  </si>
  <si>
    <t>Отчетно-выборная конференция  студенческого совета ИПЭиФ</t>
  </si>
  <si>
    <t>Вечер одноактных пьес Теннесси Уильямса</t>
  </si>
  <si>
    <t xml:space="preserve">Студенческий театр "Занавес" показал театральную постанвоку одноактных пьес Теннесси Уильямса, величайшего драматурга XX века. 
На сцене творческой мастерской им. А.Н. Сокурова предстали четыре инсценировки. Тонкий психологизм и потрясающий театральный юмор создали прекрасное настроение на весь вечер. </t>
  </si>
  <si>
    <t>В холле главного корпуса КБГУ прошла выставка «Герои в лицах», посвященная празднованию дня Победы.</t>
  </si>
  <si>
    <t>Летний спортивно-оздоровительный лагерь Эльбрус</t>
  </si>
  <si>
    <t>Отчетно-выборочная конференция председателя студенческого совета ИИИиЦТ</t>
  </si>
  <si>
    <t xml:space="preserve">Программа повышения квалификации по внедрению методики "Обучение служением" в Центре знаний "Машук" </t>
  </si>
  <si>
    <t>Центр знаний "Машук"</t>
  </si>
  <si>
    <t>С 4 по 7 июля Ассоциация волонтерских центров совместно с Национальным исследовательским университетом «Высшая школа экономики» на базе Центра знаний «Машук» проводят дополнительные курсы с учетом профессиональной направленности образовательных программ, реализуемых на базе образовательных организаций высшего образования.</t>
  </si>
  <si>
    <t xml:space="preserve">Культурно-творческое </t>
  </si>
  <si>
    <t>КБР, г. Нальчик, КБГУ, ул. Чернышевского, 173, Сокуровский зал КБГУ</t>
  </si>
  <si>
    <t xml:space="preserve">Патриотическое </t>
  </si>
  <si>
    <t>КБР, г. Нальчик, КБГУ, ул. Чернышевского, 173, 501 аудитория</t>
  </si>
  <si>
    <t>04.07.2023-07.07.2023</t>
  </si>
  <si>
    <t>Образовательное</t>
  </si>
  <si>
    <t>04.09.2023 -06.09.2023</t>
  </si>
  <si>
    <t>Ставропольский край, Пятигорск, Пионерлагерная, 8в</t>
  </si>
  <si>
    <t>Медиацентр КБГУ</t>
  </si>
  <si>
    <t>Участие в итоговом интенсиве «Кавказ.Кадры» для юных специалистов в сфере медиа из всех субъектов СКФО</t>
  </si>
  <si>
    <t>Участие в III Всероссийском студенческом медиафоруме «Игры разума»</t>
  </si>
  <si>
    <t>День солидарности в борьбе с терроризмом (3 сентября)</t>
  </si>
  <si>
    <t>Центр по профилактике экстремизма и асоциального поведения  в молодежной среде КБГУ</t>
  </si>
  <si>
    <t>Мероприятияе проходило в культурном  центре имени Темирканова с участием студентов колледжей вуза. В ходе мероприятия, посвященного  памятной дате  - Дню солидарности в борьбе с терроризмом, студентам рассказали об основных опасностях, инструментах пропаганды и методах противодействия экстремистской идеологии, в том числе в социальных сетях.</t>
  </si>
  <si>
    <t>Семинар-практикум "Что мы знаем о терроризме?"</t>
  </si>
  <si>
    <t>Открытый диалог с заместителем муфтия КБР</t>
  </si>
  <si>
    <t>Беседа была посвящена духовно-нравственному воспитанию молодежи, важности сохранения и приумножения нравственных ценностей. В ходе обсуждения вопросов семейного воспитания, было уделено особое внимание проявлению уважения к старшим, взаимоуважения между людьми,  осознанному поведению и серьезной работе над собой.</t>
  </si>
  <si>
    <t>Практическое занятие "Как мы воспринимаем негативную информацию?"</t>
  </si>
  <si>
    <t>Среди первокурсников колледжа информационных технологий и экономики вуза проведено практическое занятие "Как мы воспринимаем негативную информацию?". Целью данного мероприятия стал анализ культуры восприятия и потребления негативной информации, в частности, транслируемой через СМИ информации о терроризме.</t>
  </si>
  <si>
    <t>Открытый диалог с представителем РДДМ «Движение первых»</t>
  </si>
  <si>
    <t>Встреча проведена в формате тренинга и была посвящена вопросам девиантного поведения молодежи. Совместно с ребятами были определены слагаемые счастья, а также те ценные качества, которые формируют человеческую личность.Так, в ходе тренинга были затронуты проблемы табакокурения, алкоголизма и наркомании, а также их последствия - вопросу бережного отношения к здоровью была отведена в данной беседе особая роль.</t>
  </si>
  <si>
    <t xml:space="preserve">Открытый диалог с представителем координационного центра ЧГУ им А.Кадырова </t>
  </si>
  <si>
    <t>В ходе открытого диалога со студентами вуза, Муртаз Туганов рассказал о различных опасностях в социальных сетях - вирусах, деструктивных группах и лживом контенте. Особое внимание лектор уделил деструктивным сообществам, которые искусственно «раскачивают» различные проблемы и пытаются разделить население по социальным и этническим признакам.</t>
  </si>
  <si>
    <t>Празднование Дня знаний</t>
  </si>
  <si>
    <t>КБР, г. Нальчик, КБГУ, ул. Чернышевского, 183</t>
  </si>
  <si>
    <t>По приглашению профбюро ИПЭиФ Клуб настольных игр провёл встречу с первокурсниками. На мероприятии участкники познакомились с деятельностью Клуба, а также сыграли в настольную психологическую игру "Мафия".</t>
  </si>
  <si>
    <t>КБР, г. Нальчик, КБГУ, ул. Чернышевского, 173, 310 аудитория</t>
  </si>
  <si>
    <t>Концерт посвященный "Дню памяти Адыгов"</t>
  </si>
  <si>
    <t>Кинопросмотр для участников лагеря "Августенок-2023"</t>
  </si>
  <si>
    <t xml:space="preserve">КБР, г. Нальчик, КБГУ, ул. Чернышевского, 173, Темиркановский зал </t>
  </si>
  <si>
    <t>КБР, г. Нальчик, КБГУ, ул. Чернышевского, 173, 303 аудитория ИПЭиФ</t>
  </si>
  <si>
    <t>Командные состязания участников лагеря "Августенок-2023"</t>
  </si>
  <si>
    <t>КБР, г. Нальчик, КБГУ, ул. Чернышевского, 173, спортивный зал</t>
  </si>
  <si>
    <t>Интеллектуальная игра "Игры разума"</t>
  </si>
  <si>
    <t>Игра "Мафия"</t>
  </si>
  <si>
    <t>КБР, г. Нальчик, КБГУ, ул. Чернышевского, 173, ауд 307</t>
  </si>
  <si>
    <t xml:space="preserve">КБР, г. Нальчик, КБГУ, ул. Эльбердова 47, актовый зал </t>
  </si>
  <si>
    <t>07.09.2023 - 11.09.2023</t>
  </si>
  <si>
    <t>Обучающая программа "Наставник-2023"</t>
  </si>
  <si>
    <t>Памятный митинг, посвященный 80-й годовщине победы в Сталингадской битве</t>
  </si>
  <si>
    <t>Общая встреча участников лагеря "Августенок-2023"</t>
  </si>
  <si>
    <t>Показательный турнир по армрестлингу</t>
  </si>
  <si>
    <t>Встреча молодежных организаций КБГУ со студенческим активом</t>
  </si>
  <si>
    <t>КБР, г. Нальчик, Зеленый театр</t>
  </si>
  <si>
    <t>Медиа - клуб КБГУ «КБГУСЬ»</t>
  </si>
  <si>
    <t>Студпрофбюро МФ КБГУ</t>
  </si>
  <si>
    <t>г. Красноярск, Сибирский федеральный университет</t>
  </si>
  <si>
    <t>4 дня в Приэльбрусье лидеры студенческих профсоюзных организаций Северо-Кавказского федерального округа, участвовали в конкурсных соревнованиях за звание лучшего студенческого лидера.
Среди участников студенты Северо-Осетинского государственного университета им. К.Л. Хетагурова, Дагестанского государственного университета, Дагестанского государственного технического университета, Северо-Кавказского федерального университета и, конечно же, Кабардино-Балкарского государственного университета им. Х.М. Бербекова. 
В состав жюри вошли: Вадим Дудин, заместитель Председателя Общероссийского Профсоюза образования; Ирина Клёнова, руководитель департамента профессионального образования аппарата Общероссийского Профсоюза образования; Мария Кузьменкова, руководитель исполнительной дирекции Всероссийского конкурса «Студенческий лидер», председатель ППО студентов БГИТУ Общероссийского Профсоюза образования; Марина Вохмякова, председатель правления Ассоциации профсоюзных организаций студентов вузов Ивановской области, председатель ППО обучающихся ИГЭУ Общероссийского Профсоюза образования; Светлана Касимова, председатель Первичной профсоюзной организации студентов и аспирантов ФГБОУ ВО «ГГПИ»; Наталия Алексеева, заместитель председателя Башкирской республиканской организации Общероссийского Профсоюза образования.
Первое место разделили Формалева Ева, Северо-Кавказский федеральный университет, и Хадижалаев Саид-Афанди, Дагестанский государственный университет. Кашироков Нурмухамед, Кабардино-Балкарский государственный университет, занял почетное третье место.</t>
  </si>
  <si>
    <t>В рамках общего собрания студентов - активистов студенческого совета СГИ - прошли выборы из числа кандидатов на пост председателя студсовета СГИ. На повестке дня выдвигался так же вопрос о принятии отчета о проделанной деятельности действующего председателя.</t>
  </si>
  <si>
    <t>28.07.2023-06.08.2023</t>
  </si>
  <si>
    <t xml:space="preserve">КиноИгра для первокурсников </t>
  </si>
  <si>
    <t>Психологическая игра "Кинобункер"</t>
  </si>
  <si>
    <t xml:space="preserve">В рамках спортивно-оздоровительного лагеря "Эльбрус" проведена психологическая настольная игра "Бункер", адаптированная под тематику кино. По итогам игры поощрены два участника, наиболее грамотно отстоявших свою позицию (по правилам игры) и запомнившихся организаторам. </t>
  </si>
  <si>
    <t xml:space="preserve">11 октября 2023 года в Кабардино-Балкарском государственном университете им. Х. М. Бербекова прошел долгожданный «посвят» – традиционное яркое праздничное посвящение первокурсников в студенты, как всегда великолепно организованное управлением по молодежной политике и воспитательной работе вуза.  На посвящении первокурсникам рассказали о самых масштабных и крутых студенческих конкурсах, проходящих в КБГУ. С восторгом и громкими аплодисментами зрители встречали номера победителей таких проектов, как «Виват, студент!», «Мисс КБГУ», «Мистер КБГУ» и, конечно, «Студенческая весна».Праздник первокурсников завершился традиционным исполнением Гимна КБГУ.
</t>
  </si>
  <si>
    <t>Праздничный концерт ко Дню основания КБГУ</t>
  </si>
  <si>
    <t xml:space="preserve">12 октября 20232 года главному университету Кабардино-Балкарской Республики – Кабардино-Балкарскому государственному университету им. Х. М. Бербекова исполнился 91 год. За добросовестный труд и в связи с празднованием дня основания КБГУ Почётной грамотой КБГУ были награждены 48 работников вуза. Поздравить старейший университет республики пришли популярные певцы Черим Нахушев и Алим Газаев, а также именитые коллективы: Государственный академический ансамбль танца «Кабардинка», Государственный фольклорно-этнографический ансамбль танца «Балкария», театр танца КБГУ «Каллисто» и Образцовый детский коллектив ансамбль современного эстрадного танца «Арабеск». Гостей КБГУ, сотрудников и студентов поприветствовал и поздравил врио ректора Мурат Гукепшоков: «За 91 год работы университета сделано очень многое. КБГУ – это центр культуры, науки, образования и просвещения. На этих четырех столпах мы и дальше будем стоять. Давайте любить наш университет, давайте гордо нести его имя». </t>
  </si>
  <si>
    <t xml:space="preserve">Праздничный флешмоб, посвященный дню рождения президента Российской Федерации Владимира Владимировича Путина. </t>
  </si>
  <si>
    <t>КБР, г. Нальчик, КБГУ, ул. Чернышевского, 173, ГУК КБГУ</t>
  </si>
  <si>
    <t>Треккинговые походы в Приэльбрусье АО "Курорт Эльбрус"</t>
  </si>
  <si>
    <t>КБР, Приэльбрусье</t>
  </si>
  <si>
    <t>Студенты КБГУ приняли участие в походах, организаованных ОА "Курорт Эльбрус". Маршруты прошли на территории курорта «Эльбрус» в направлениях «Эльбрусское озеро» и «Терскольское ущелье» с сопровождением профессиональных гидов. В составе делегации приняли участие студенты КБГУ - граждане Абхазии, Сирии, Египта, Индии, Афганистана, Иордании, России. Мероприятие было проведено в рамках Всероссийской акции "Треккинговые выходные на курорте "Эльбрус".</t>
  </si>
  <si>
    <t>В творческой мастерской им. А.Н. Сокурова состоялась встреча молодежных организаций со студенческим активом вуза. Начальник Управления по молодежной политике и воспитательной работе Хызыр Машуков и председатель главного Студенческого совета Марьяна Варитлова подробно ответили на вопросы, касающиеся стипендии, общежитий и студенческой жизни.</t>
  </si>
  <si>
    <t>Презентация проекта "Мир Кавказу" ЮФУ</t>
  </si>
  <si>
    <t>Студенты КБГУ встретились с представителями Южного федерального университета. В Центре культуры им. Х.С. Темирканова делегация ЮФУ презентовала проект «Мир Кавказу», рассказала о лучших практиках в сфере гармонизации межнациональных отношений и обеспечения межэтнического взаимодействия, провела социологическое исследование «Образ России в оценках студенческой молодежи Северного Кавказа» и два круглых стола по темам развития студенческого самоуправления и деятельности студенческих научных объединений. Гостями встречи стали и.о. проректора по НИР КБГУ Светлана Хаширова, проректор по воспитательной работе и реализации молодёжных программ ЮФУ Яков Асланов и директор Института социологии и регионоведения ЮФУ Андрей Бедрик.</t>
  </si>
  <si>
    <t>КБР, г. Нальчик, КБГУ, ул. Чернышевского, 173, территория кампуса</t>
  </si>
  <si>
    <t>В Кабардино-Балкарском госуниверситете провели окружной молодежный форум «БудеТолк». Участвовали свыше 150 заместителей директоров по воспитательной работе среднего профессионального образования из всех регионов СКФО.
Первый день открыли пленарной встречей. Говорили о взаимодействии с отделениями Российского движения детей и молодежи «Движение первых». Сейчас по всей стране их около 12 тысяч, почти 600 из них – в средних профессиональных образовательных учреждениях.
Форум в Кабардино-Балкарии проходил в течение двух дней. За это время участники посетили различные лекции и мастер-классы, провели практические занятия.
Представители волонтерского центра КБГУ оказали помощь в организации различных площадок мероприятия.</t>
  </si>
  <si>
    <t>В Пятигорске стартовал итоговый интенсив проекта «Кавказ.Кадры».
Более 50 лучших участников проекта из 7 регионов СКФО приехали в Центр знаний «Машук». 
В ближайшие три дня — с 4 по 6  сентября их будет ждать интенсивная программа: лекции и практические занятия от федеральных и региональных экспертов-практиков в сфере журналистики, социологии и политологии. Ребята овладеют навыками ораторского искусства, научатся создавать свой личный бренд, разоблачать фейки и писать тексты, которые понравятся не только главному редактору и читателям, но и искусственному интеллекту.
В рамках мероприятия молодых специалистов ждет встреча с представителями работодателей из сферы медиа-коммуникаций. «Участие в мероприятии поможет мне по-новому взглянуть на рабочие задачи и найти новые креативные решения. Хочу отметить, что проект собрал очень интересных участников: здесь и блогеры, и журналисты, и предприниматели, и переводчики, смм-специалисты, преподаватели. Мы сможем обменяться опытом и зарядиться энергией для новых идей и проектов», - участница проекта, руководитель пресс-службы Северо-Кавказского института - филиала РАНХиГС Мадина Идрисова. Проект реализуется АНО «ЛОП» при поддержке Фонда президентских грантов.</t>
  </si>
  <si>
    <t>Игра "Камнь/ножницы/бумага"</t>
  </si>
  <si>
    <t>Мероприятие направлено на привлечение первокурсников института права, экономики и финансов во внеучебную студенческую дизнь. Для игроков были разработаны карточки, переделанные под специфику института. Полностью был продуман сюжет игры, в результате которой были выявлены 5 победителей, которые получили призы от спонсоров.</t>
  </si>
  <si>
    <t>КБР, г. Нальчик, КБГУ, ул. Чернышевского, 173, учебный корпус №3, аудитория №02</t>
  </si>
  <si>
    <t>В главном студенческом совете КБГУ состоялось собрание председателей всех структурных подразделений КБГУ. Были вынесены на обсуждение вопросы по развитию студенческого самоуправления, привлечению актива, приобщению первокурсников к студенческой жизни университета.</t>
  </si>
  <si>
    <t>Для первокурсников прошел квиза по кинематографу, также новых участников клуба ознакомления с работой, деятельностью и структурой клуба.</t>
  </si>
  <si>
    <t>Между командами лагеря "Августенок-2023" были проведены соревнования: для команд девочек - пионербол, для команд мальчиков - мини-футбол. По итогам сорвенований были начислены баллы в общекомандный зачет мероприятия.</t>
  </si>
  <si>
    <t>На площадке перед главным корпусом КБГУ состоялся праздничный  флешмоб, посвященный дню рождения президента Российской Федерации Владимира Владимировича Путина. Студенты и сотрудники вышли отметить знаменательную дату, присоединились к поздравлениям в адрес Главы нашего государства и артисты местной эстрады.</t>
  </si>
  <si>
    <t>Проведено собеседование среди студентов для вступления в клуб.</t>
  </si>
  <si>
    <t>Спектакль по пьесе Г. Искалиевой «Трудный экзамен»</t>
  </si>
  <si>
    <t>Врамках деятельности студенческого театра КБГУ "Занавес" зрителям была представлен спектакль по пьесе Г. Искалиевой "Трудный экзамен"</t>
  </si>
  <si>
    <t>Спортивный фестиваль, посвящённый дню основания Кабардино-Балкарского госуниверситета им. Х.М. Бербекова</t>
  </si>
  <si>
    <t>ППОО КБГУ, Профсоюзная организация работников КБГУ</t>
  </si>
  <si>
    <t>Участие во II Международном форуме "Кавказ-Каспий-Восток"</t>
  </si>
  <si>
    <t>г. Ставрополь, СКФУ</t>
  </si>
  <si>
    <t>Ознакомительная встреча иностранных студентов КБГУ в Центре балкарской культуры имени Х. С. Отарова</t>
  </si>
  <si>
    <t>Студенческий совет  ИППиФСО и ПК</t>
  </si>
  <si>
    <t>Кинопросмотр и тайный друг для участников лагеря "Августенок-2023"</t>
  </si>
  <si>
    <t>Для студентов 1 курса ИППиФСО и ПК было организованное посвящение в первокурсники. Студенты старших курсов подготовили яркую концертную программу, обеспечив море эмоций и невероятную атмосферу.</t>
  </si>
  <si>
    <t>В творческой мастерской А.Н. Сокурова был проведен кинопросмотр советского мультфильма "Бременские музыканты". Для командообразования участников лагеря "Августенок-2023" проведена игра "Тайный друг".</t>
  </si>
  <si>
    <t xml:space="preserve">Иностранные студенты КБГУ и активисты Клуба интернациональной дружбы постеили ЦБК им. Отарова. В рамках мероприятия было проведено знакомство с такими эелементами балкарской культуры, как национальная кухня, костюм, танцы. </t>
  </si>
  <si>
    <t>Встреча студентов КБГУ с представителями Молодежного центра КБР о возможностях развития молодежного предпринимательства.</t>
  </si>
  <si>
    <t xml:space="preserve">Встреча клуба молодых предпринимателей, организована ГБУ "Молодежный центр КБР" совместно с Министерством по делам молодёжи КБР в рамках реализации Всероссийской программы по развитию молодёжного предпринимательства. </t>
  </si>
  <si>
    <t>Товарещеский матч по Dota 2 с ЛГПУ</t>
  </si>
  <si>
    <t>Киберспортивные турниры по UFC 4 и FIFA</t>
  </si>
  <si>
    <t>В рамках форумов «Летний лагерь-2023» и «Межкультурный диалог КБГУ» на университетской базе отдыха был проведен ряд киберспортивных турниров по UFC 4 и FIFA</t>
  </si>
  <si>
    <t>Открытый диалог с исполнительным директором региональной общественной организации "Волонтерское движение в поддержку соотечественников "НИ ШАГУ НАЗАД" Темиржаном Байсиевым.</t>
  </si>
  <si>
    <t>В ходе беседы с обучающимся Т.Байсиев рассказал об отправке и доставке гуманитарных грузов военнослужащим из КБР - участникам специальной военной операции СВО,  затронул вопросы современной международной обстановки и   героических подвигов российских  солдат</t>
  </si>
  <si>
    <t>Экспертная сессия на тему "Традиционные семейные ценности"</t>
  </si>
  <si>
    <t>В рамках экспертной сессии психологи вуза Б.Нагоев и Р.Малкарова обсудили со студентами вопросы семейных отношений,  влияние на семью сложных и неоднозначных механизмов человеческих эмоций и/или чувств. Участники мероприятия ознакомились с деятельностью центра психологической помощи КБГУ, с такими продуктами интеллектуальной деятельности, как технология индивидуальной психологической помощи подросткам, технология индивидуального психологического консультирования взрослых с элементами психотерапии, "Школа практической психологии».  Зам. муфтия КБР А.Сижажев напомнил об ответственности за свои  поступки и необходимости делать осознанный выбор.</t>
  </si>
  <si>
    <t>Беседа "Экстремизм и терроризм в киберпространстве"</t>
  </si>
  <si>
    <t>Беседа о воздействии ВЕЙПов на организм человека</t>
  </si>
  <si>
    <t>Представители ГКУЗ "Цозмаит" Минздрава КБР, наркологи-психиатры А. Лобжанидзе и А. Пачев рассказали студентам о вреде употребления электронных сигарет,  подробно рассказали о составляющих ВЕЙПов, которые при термическом разложении превращаются в канцерогенные вещества. В ходе беседы приводились убедительные примеры из жизни.</t>
  </si>
  <si>
    <t>Лекция "Уникальность российской цивилизации"</t>
  </si>
  <si>
    <t xml:space="preserve">В качестве эксперта на встрече со студентами выступила  заведующая кафедрой истории России, к.и.н.,доцент Соблирова З.Х., рассказавшая о ключевых ценностных константах российской цивилизации. В ходе мероприятия подробно освещены такие важнейшие составляющие уникальной российской системы ценностей, как Родина, любовь, жизнь, государство, труд, духовность, соборность, семья, честь и достоинство, суверенитет. </t>
  </si>
  <si>
    <t>Квест по мотивам вселенной Толкина "Властелин колец"</t>
  </si>
  <si>
    <t>Проведен тематический квест по Вселенной Толкина "Властелин колец" на территории университета, состоял из 6 этапов. Ребята должны были пройти через паутину в Кирит Унголе, разгадать загадки Голлума, показать свои знания эльфийской музыки, чтобы зайти в Лотлориэн, уничтожить кольцо в Мордоре и показать, как хорошо разбираются в мире Толкина. Команды победители получили памятные призы.</t>
  </si>
  <si>
    <t>Игра для первокурсников по аниме «Animango 2.0»</t>
  </si>
  <si>
    <t>КБР, г. Нальчик, КБГУ, ул. Чернышевского, 185</t>
  </si>
  <si>
    <t>КБР, г. Нальчик, КБГУ, ул. Чернышевского, 184</t>
  </si>
  <si>
    <t>В рамках ознакомительных встреч со студенческим активом структурных подразделений, клуб настольных игр провёл встречу со студентами института менеджмента, туризма и индустрии гостеприиства. Участники познакомились с игрой "Гномы Вредители".</t>
  </si>
  <si>
    <t>Настольная ролевая игра "D&amp;D Lite. 3"</t>
  </si>
  <si>
    <t>КБР, г. Нальчик, КБГУ, ул. Чернышевского, 186</t>
  </si>
  <si>
    <t>Клуб настольных игр провёл третью по счёту партию в упрощённую версию настольно-ролевой игры Подземелья и Драконы. Участники разбились на 7 столов. За каждым столом был ведущий - Мастер Подземелий, который проводил приключение - квест в фэнтези мире. Участники отыгрывали действия своих персонажей.</t>
  </si>
  <si>
    <t xml:space="preserve">Республиканский этап марафона "Всероссийский марафон донорства костного мозга  "Давай вступай"" </t>
  </si>
  <si>
    <t>В КБГУ прошли просветительская лекция, концертная программа, посвящённая Всероссийскому марафону в поддержку донорского движения "#ДАВАЙВСТУПАЙ" и торжественная встреча Артема Алискерова, амбассадора донорства костного мозга в рамках Республиканского этапа марафона "Всероссийский марафон донорства костного мозга  "Давай вступай"".</t>
  </si>
  <si>
    <t>Комплексные Всероссийские сороевнования</t>
  </si>
  <si>
    <t>Образовательные треки в рамках проекта "Фестиваль студенческих организаций «СТУДstock»"</t>
  </si>
  <si>
    <t>Успешно прошел первый день образовательных треков в рамках проекта "Фестиваль студенческих организаций «СТУДstock»".
На мероприятии присутствовали представители студенческого самоуправления вузов и ссузов Кабардино-Балкарии: КБГУ, КБГАУ, колледж "Строитель", колледж "Призвание", СКГИИ.
Первый лекторий провела Хуторская Елизавета, заместитель директора центра поддержки студенческих объединений, молодежных программ и проектов КБГУ. Студенты узнали, что такое студенческий клуб по интересам, в составе какой структуры он находится, как создать идеальное мероприятие, из кого должна состоять команда мечты и не только.
Руководитель медиа-центра КБГУ, Бечелова Джамиля, рассказала о самых полезных и крутых фишках ведения социальных сетей: основные характеристики, плюсы и минусы ВК / Telegram, как правильно привлечь подписчиков и т.п.</t>
  </si>
  <si>
    <t xml:space="preserve">Прошел второй день образовательных треков в рамках проекта "Фестиваль студенческих организаций «СТУДstock»". Лектором выступил приглашенный эксперт: Кушхова О.С., </t>
  </si>
  <si>
    <t>В центре культуры им. Х.С. Темирканова прошел мастер-класс «Эмоциональный интеллект» для обучающихся колледжей. Студенты узнали о том, как сформировать «гибкие навыки», необходимые для личностного и профессионального роста.</t>
  </si>
  <si>
    <t>В центре культуры им. Х.С. Темирканова прошла встреча в рамках профилактики межнациональных и межконфессиональных конфликтов в молодежной среде.Лектором мероприятия выступила: Инна Владимировна Деревенскова, майор полиции, старший уполномоченный Центра по противодействию экстремизму и терроризму в СКФО.</t>
  </si>
  <si>
    <t xml:space="preserve">Спортивные соревнования "ProСпорт" - волейбол </t>
  </si>
  <si>
    <t xml:space="preserve">Спортивные соревнования "ProСпорт" - армрестлинг  </t>
  </si>
  <si>
    <t xml:space="preserve">Спортивные соревнования "ProСпорт" - настольный теннис </t>
  </si>
  <si>
    <t>Просмотр-дискуссия фильма "Принцесса Мононоке"</t>
  </si>
  <si>
    <t>Культурно-развлекательное мероприятие, посвященное просмотру работы именитого режиссера, Хаяо Миядзаки - "Принцесса Мононоке"</t>
  </si>
  <si>
    <t>Встреча в рамках профилактики межнациональных и межконфессиональных конфликтов в молодежной среде</t>
  </si>
  <si>
    <t>Клуб азиатской культуры КБГУ «Нить», Киноклуб КБГУ</t>
  </si>
  <si>
    <t>Подведение итогов работы Корпуса общественных наблюдателей КБР за 2023 год</t>
  </si>
  <si>
    <t xml:space="preserve">23 ноября в стенах КБГУ подвели итоги работы Корпуса общественных наблюдателей в Кабардино-Балкарской Республике в 2023 году и  наградили участников благодарственными письмами за активную гражданскую позицию в обеспечении общественного контроля за ходом ГИА-2023. В ходе встречи региональный руководитель Корпуса Эльдар Балкаров поделился статистическими данными об итогах работы общественных наблюдателей. В 2023 году в мониторинге ГИА на территории Кабардино-Балкарской Республики приняли участие 141 человек, выполнили более 600 выходов в ППЭ.Обозначили цели и задачи на 2024 год. </t>
  </si>
  <si>
    <t xml:space="preserve">Научно-образовательное </t>
  </si>
  <si>
    <t>Ежегодная естественно-научная олимпиада им. Л.Х. Слонова</t>
  </si>
  <si>
    <t>Отчетно-выборная конференция научного клуба «Maxwell»</t>
  </si>
  <si>
    <t xml:space="preserve">Отчетно-выборная конференция научного клуба «Maxwell». Присутствовало 23 человека. Все участники единогласно приняли отчет о деятельности клуба на период с января 2023 по ноябрь 2023 и избрали на пост председателя Шогенову Э.К.  </t>
  </si>
  <si>
    <t>КБР, Черекское ущелье, с. Верхняя Балкария</t>
  </si>
  <si>
    <t>"Наука астрономия"</t>
  </si>
  <si>
    <t>Лекция для участников астрономического клуба по теме "Наука астрономия". Знакомство с небесной навигацией: работа с неподвижной и подвижной картами звёздного неба. Электронные приложения для изучения звёздного неба.</t>
  </si>
  <si>
    <t>КБР, г. Нальчик, КБГУ,  корпус ИФиМ, 509 аудитория</t>
  </si>
  <si>
    <t xml:space="preserve">Для первокурсников ИФиМ была организована концертная программа, в которой принимали участие непосредственно студенты 1 курса. Помимо этого превокрусники разделились на команды и соперничали между собой содержанием своей программы.  </t>
  </si>
  <si>
    <t>Студенческий совет ИАСиД</t>
  </si>
  <si>
    <t>Спектакль «Не покидай меня»</t>
  </si>
  <si>
    <t>Фестиваль студенческих организаций "СТУДstock"</t>
  </si>
  <si>
    <t>Мастер-класс «Эмоциональный интеллект»</t>
  </si>
  <si>
    <t>Встреча студентов с председателем Совета ветеранов органов внутренних дел и внутренних войск КБР М.М. Пиховым</t>
  </si>
  <si>
    <t>Экскурсионный выезд в г. Грозный</t>
  </si>
  <si>
    <t>г. Грозный</t>
  </si>
  <si>
    <t>Встреча студентов с сотрудниками поисково-спасательного подразделения «Нальчик» Эльбрусского высокогорного поисково-спасательного отряда МЧС России</t>
  </si>
  <si>
    <t>Экскурсионный выезд в г. Кисловодск</t>
  </si>
  <si>
    <t>г. Кисловодск</t>
  </si>
  <si>
    <t>Встреча министра по делам молодежи КБР Азамата Люева со студентами КБГУ</t>
  </si>
  <si>
    <t>29 ноября в зале общественных инициатив состоялась встреча министра по делам молодежи КБР Азамата Люева со студентами КБГУ. 
В ходе встречи были вручены Благодарственные письма сотрудникам и студентам вуза. 
Также сотрудники многофункционального молодежного центра КБР рассказали о своей деятельности и новых направлениях работы.</t>
  </si>
  <si>
    <t>г. Владикавказ</t>
  </si>
  <si>
    <t>Экскурсионный выезд в г. Владикавказ</t>
  </si>
  <si>
    <t xml:space="preserve">В КБГУ состоялось завершающее мероприятие в рамках проекта "Фестиваль студенческих организаций "СТУДstock".
В центре культуры им.Х.С.Темирканова собрались представители студенческих объединений вузов и ссузов КБР.
Образовательные треки сегодня вели:
- Аскер Шибзухов, начальник отдела экологии и природопользования КБГУ;
- Инар Инароков, председатель студенческого интернационального клуба КБГУ;
- Саният Метова, тренер Ассоциации тренеров Российского союза молодежи.
Как написать идеальный проект, что такое невербальные коммуникации и как научиться общаться без слов, а также тренинг о командной работе: наши приглашенные эксперты провели увлекательные встречи со студентами. </t>
  </si>
  <si>
    <t>В зале им.А.Н.Сокурова прошел культурно-патриотческий кинолекторий "Киноман". История зарождения авангарда, периода оттепели и эпохи застоя, а также современное состояние кинематографа: за два дня студенты смогли послушать замечательные лекции от ведущих специалистов синематографии.  
Гостями КБГУ стали:  
- Мадинат Шахмурзова, преподаватель Северо-Кавказского Государственного Института Искусств;  
- Далия Бешто, кинокритик и участник творческого объединения «Синдикат»;  
- Олег Хамоков, режиссер, выпускник творческой мастерской А.Н. Сокурова.  
Руководитель кинолектория: председатель Киноклуба КБГУ, магистрант СГИ Диана Балкарова. Проект поддержан Росмолодежь.Гранты для физ.лиц.</t>
  </si>
  <si>
    <t>Молодежный образовательный лагерь «Луч»</t>
  </si>
  <si>
    <t>Отчетный тренинг-семинар с Оксаной Кушховой в рамках образовательной программы "Наставник"</t>
  </si>
  <si>
    <t>г.Махачкала</t>
  </si>
  <si>
    <t>На площадке Дагестанского государственного технического университета 20 ноября 2023 года, в рамках Межрегионального молодежного форума «Лига спорта», состоялся турнир по волейболу, в котором приняли участие команды Северо-Кавказского федерального округа.</t>
  </si>
  <si>
    <t>г.Челябинск</t>
  </si>
  <si>
    <t>"Спортифный фестиваль"</t>
  </si>
  <si>
    <t xml:space="preserve">Разговорная встреча на английском языке </t>
  </si>
  <si>
    <t>КБР, г. Нальчик, "Книжная Среда", ул. Яхогоева, 157</t>
  </si>
  <si>
    <t>В рамках проекта "Программа патриотического воспитания студентов КБГУ" прошел спектакль  «Не покидай меня» тему Великой Отечественной войны были организованы для студентов и сотрудников вуза.  Драматическую балладу белорусского автора Алексея Дударева исполнили актеры театра КБГУ «Занавес».</t>
  </si>
  <si>
    <t>В рамках реализации проекта "Программа патриотического воспитания студентов КБГУ" в центре культуры им.Х.С. Темирканова прошла встреча с участием почетных гостей. Почетные гости говорили о своей жизни, о том, где и как учились, как выбрали военную стезю, рассказали о своих подвигах и боевых наградах.</t>
  </si>
  <si>
    <t>В рамках реализации проекта "Программа патриотического воспитания студентов Кабардино-Балкарского государственного университета им.Х.М. Бербекова" проведена экскурси в г. Грозный.
Маршрут поездки и список мест посещения получился очень насыщенный: город Нальчик - город Назрань, Мемориал памяти и славы - мечеть им. Аймани Кадыровой г. Аргун - Мечеть «Гордость мусульман» имени пророка Мухаммеда г. Шали - Проспект им. В.В. Путина и проспект им. А-Х. А. Кадырова город Грозный – Храм Архангела Михаила – парк Цветов - Грозный-Сити с подъемом на обзорную площадку одной из башен - мечеть Сердце Чечни г. Грозный.</t>
  </si>
  <si>
    <t>В рамках реализации проекта "Программа патриотического воспитания студентов КБГУ".
со студентами встретились сотрудники поисково-спасательного подразделения «Нальчик» Эльбрусского высокогорного поисково-спасательного отряда МЧС России:
- Мухаммат Гулиев, начальник подразделения;
- Мазан Киштыков, спасатель 1-го класса.</t>
  </si>
  <si>
    <t>В рамках реализации проекта "Программа патриотического воспитания студентов Кабардино-Балкарского государственного университета им.Х.М. Бербекова" проведена экскурси в г. Кисловодск</t>
  </si>
  <si>
    <t>Спортивно-патриотический лагерь "АвгустЁнок-2023"</t>
  </si>
  <si>
    <t>23.10.2023-27.10.2023</t>
  </si>
  <si>
    <t>В этом году форум прошел традиционно в Эльбрусском учебно-научном комплексе КБГУ. Актуальность лагеря с годами только возрастает, «Августёнок» – это гармоничное сочетание образования, воспитания и отдыха студентов, которые в течение года зарекомендовали себя с лучшей стороны, это оптимальные условия творческого отдыха, развития компетенций студенческого самоуправления и формирования лидерского потенциала у студенческой молодежи.</t>
  </si>
  <si>
    <t>Студенческий совет ИИЭиР КБГУ</t>
  </si>
  <si>
    <t>Студенческий совет СГИ КБГУ</t>
  </si>
  <si>
    <t>Студенческий совет ИМТиИГ КБГУ</t>
  </si>
  <si>
    <t>Студенческий совет ИХиБ КБГУ</t>
  </si>
  <si>
    <t>Игра "K-dramaholic"</t>
  </si>
  <si>
    <t xml:space="preserve">Для первокурсников ИППиФСО была организована концертная программа, в которой принимали участие непосредственно студенты 1 курса. Помимо этого превокрусники разделились на команды и соперничали между собой содержанием своей программы.  </t>
  </si>
  <si>
    <t>Студенческий совет ИППиФСО и ПК КБГУ</t>
  </si>
  <si>
    <t>Студенческий совет КИТиЭ КБГУ</t>
  </si>
  <si>
    <t>КБР, г. Нальчик, Балкарский государственный драматический театр имени Кайсына Кулиева</t>
  </si>
  <si>
    <t>Студенческий совет ИПЭиФ КБГУ</t>
  </si>
  <si>
    <t>На площадке Балкарского государственного драматического театра состоялось профориентационное мероприятие, одну из ознакомительных зон организовали студенты ИПЭиФ КБГУ. Старшеклассникам было предложено ознакомиться с условиями поступления в КБГУ, направлениями обучения по программам уровней образования (бакалавриат, специалитет, магистратура, аспирантура), перспективами трудоустройства и т.д. Студенты КБГУ приветливо встречали гостей и вручали им информационные буклеты. Также школьники приняли активное участие в мастер-классах, организованных студентами колледжей КБГУ.</t>
  </si>
  <si>
    <t>Шоу-конкурс "Виват, студент - 2023"</t>
  </si>
  <si>
    <t xml:space="preserve">Студенческий совет КБГУ </t>
  </si>
  <si>
    <t>Встреча со студентами колледжей проведена в рамках федерального оперативно-профилактического мероприятия "Нет ненависти и вражде". Представитель Центра противодействия экстремизму МВД по КБР напомнила об опасностях, подстерегающих в социальных сетях молодежь как самую уязвимую группу населения</t>
  </si>
  <si>
    <t>КБР, г. Нальчик, КБГУ, ул. Толстого, 182</t>
  </si>
  <si>
    <t xml:space="preserve">В целях противодействия незаконному обороту наркотиков и профилактики их немедицинского потребления организовано посещение студентами колледжей киновидеоучреждения "Кругозор" Минкульт КБР , в котором состоялся просмотр итальянской драмы "Говори смело" (1987 г.). </t>
  </si>
  <si>
    <t>Кинопоказ "Говори смело"</t>
  </si>
  <si>
    <t>Тренинг «Манипулятивное общение: понятие и способы защиты от манипуляции»</t>
  </si>
  <si>
    <t>Лекция для студентов направления "История"</t>
  </si>
  <si>
    <t>В целях повышения уровня правосознания иностранных студентов организована встреча сотрудника Центра по противодействию экстремизму МВД по Кабардино-Балкарской Республике с обучающимися КБГУ, прибывшими из различных государств. Представитель ЦПЭ рассказал о том, что такое экстремизм, а также описал основные составляющие данного явления.</t>
  </si>
  <si>
    <t>Профилактическая беседа</t>
  </si>
  <si>
    <t>"Самооценка. Проблемы, возникающие при низкой самооценке" - так называлась беседа, проведенная доцентом Малкаровой  Р.Х. собучающимися.  Студенты потренировались дать друг другу оценку, стараясь при этом выявить друг в друге наиболее положительные стороны.</t>
  </si>
  <si>
    <t>Профилактическая беседа "Самооценка. Проблемы, возникающие при низкой самооценке"</t>
  </si>
  <si>
    <t>Культурно-патритический кинолекторий "Киноман"</t>
  </si>
  <si>
    <t>КБР, г. Нальчик, ул. Орджоникидзе 172</t>
  </si>
  <si>
    <t>01.12.2023-02.12.2023</t>
  </si>
  <si>
    <t>Образовательно-развлекательный питчинг "Кино для тебя"</t>
  </si>
  <si>
    <t>12 декабря в Темиркановском зале КБГУ состоялся питчинг "Кино для тебя". Для зрителей участники подготовили выступления с презентацией-проектом своего предположительного фильма. Конкурсное жюри распределили места следующим образом:
1) Мафедзов Инал;
2) Шамаева Камилла;
3) Кучмезова Диана.</t>
  </si>
  <si>
    <t xml:space="preserve">Дебаты по вопросам кинематографа </t>
  </si>
  <si>
    <t>В 405 аудитории социально-гуманитарного института прошли кино-дебаты. Всего на обсуждение было вынесено два вопроса:
1) Искусственный интеллект в кино: благо или проклятие?
2) Можно ли оправдать человека, считающегося легендой в кино, за его преступные деяния? 
По итогам награждены два человека.</t>
  </si>
  <si>
    <t>КБР, г. Нальчик, КБГУ, ул. Чернышевского, 165</t>
  </si>
  <si>
    <t>Слет волонтеров КБГУ</t>
  </si>
  <si>
    <t>"Волонтер года 2023"</t>
  </si>
  <si>
    <t>Встреча с  основательницей российского бренда одежды  "HATSIBANA"  Фатимой Шогеновой</t>
  </si>
  <si>
    <t>Торжественное мероприятие, посвященное дню основания Добровольной молодежной дружины КБГУ «Эльбрус»</t>
  </si>
  <si>
    <t>Добровольнао-молодежная дружина КБГУ "Эльбрус"</t>
  </si>
  <si>
    <t>Культурно-патриотический кинолекторий «КИНОМАН»</t>
  </si>
  <si>
    <t>В 501 аудитории СГИ прошел показ фильма "Дьявол носит Prada", в мероприятии участвовали студенты с разных факультетов. Обсудили этот фильм, обратили внимание на образы главной героини, вдохновили на создание своего.</t>
  </si>
  <si>
    <t>Турнир среди мужских команд СКФО-ЮФО, посвященный Международному женскому дню</t>
  </si>
  <si>
    <t>28.02.2023-02.03.2023</t>
  </si>
  <si>
    <t>(вытащила инфу с приказов)</t>
  </si>
  <si>
    <t>Оказади помощь адаптационной школе "Гладиатор" в организации соревнований по футзалу среди детей с ОВЗ.</t>
  </si>
  <si>
    <t>Обучающий семинар для лиц, претендующих на получение статуса федерального общественного наблюдателя</t>
  </si>
  <si>
    <t>Студенты КБГУ стали участниками форума "Производительность труда 2.0" , организованного центром "Мой Бизнес" при поддержке Министерства экономического развития КБР. Мероприятие открыли заместитель министра экономического развития КБР Белецкая О.В., директор НО "Гарантийный фонд КБР" Тхабисимов А.С., заместитель министра промышленности, энергетики и торговли КБР Кяров Э.Х., генеральный директор АО "Корпорация развития КБР" Чочаев А.М., заместитель председателя Союза "Торгово-промышленная палата КБР" Гукетлов М.С. Участники посетили лекции приглашенных специалистов.</t>
  </si>
  <si>
    <t>В центре культуры им. Х.С. Темирканова прошла лекция по разъяснению гражданам внешней и внутренней политики. Лектором выступил исполнительный директор Российского общества политологов, профессор кафедры истории и теории политики факультета политологии Московского государственного университета им. М.В. Ломоносова Игорь Кузнецов. Также выступил Карпов Андрей Рифатович, начальник департамента по реализации общественных проектов аппарата полпреда Президента РФ в СКФО. 
Присутствующих поприветствовал и.о. проректора по кадровым и организационно-правовым вопросам КБГУ Мурат Гукепшоков, отметив, что культура и непререкаемые ценности – это важные составляющие нашего будущего.
Завершающей частью встречи стал блок вопросов от сотрудников и обучающихся вуза.</t>
  </si>
  <si>
    <t>КБР, урочище Джилы-Су</t>
  </si>
  <si>
    <t>Организован экскурсионный выезд в урочище Джилы Су. Участники узнали о культуре и истории народов КБР, познакомились с новым туристическим маршрутом и узнали азы полевой кухни.</t>
  </si>
  <si>
    <t xml:space="preserve">РСО-Алания, Дигорское ущелье </t>
  </si>
  <si>
    <t>Экскурсионный выезд в Джилы-Су</t>
  </si>
  <si>
    <t>Экскурсионный выезд в Безенги</t>
  </si>
  <si>
    <t>КБР, Безенгийское ущелье</t>
  </si>
  <si>
    <t>Организован экскурсионный выезд в Хуламо-Безенгийское ущелье. Участники узнали о культуре и истории народов КБР, познакомились с новым туристическим маршрутом и узнали азы полевой кухни.</t>
  </si>
  <si>
    <t>Экскурсионный выезд в Алагирское ущелье</t>
  </si>
  <si>
    <t xml:space="preserve">РСО-Алания, Алагирское ущелье </t>
  </si>
  <si>
    <t>Организован экскурсионный выезд в Алагирское ущелье. Участники узнали о культуре и истории народов КБР, познакомились с новым туристическим маршрутом и узнали азы полевой кухни.</t>
  </si>
  <si>
    <t>Выездное мероприятие в Джейрахское ущелье</t>
  </si>
  <si>
    <t>Республика Ингушетия, Джейрахское ущелье</t>
  </si>
  <si>
    <t>Организован экскурсионный выезд в Джейрахское ущелье. Участники узнали о культуре и истории народов Республики Ингушетия, познакомились с новым туристическим маршрутом и узнали азы полевой кухни.</t>
  </si>
  <si>
    <t>Экскурсионный выезд на озеро Гижгит</t>
  </si>
  <si>
    <t>КБР, озеро Гижгит</t>
  </si>
  <si>
    <t>Экскурсионный выезд в Цейское ущелье</t>
  </si>
  <si>
    <t>РСО-Алания, Цейское ущелье</t>
  </si>
  <si>
    <t>Экскурсионный выезд в Дигорское ущелье</t>
  </si>
  <si>
    <t>Организован экскурсионный выезд в Дигорское ущелье. Участники узнали о культуре и истории народов Северной Остеии, познакомились с новым туристическим маршрутом и узнали азы полевой кухни.</t>
  </si>
  <si>
    <t>Экскурсионный выезд в Приэльбрусье</t>
  </si>
  <si>
    <t xml:space="preserve">КБР, Приэльбрусье </t>
  </si>
  <si>
    <t>Организован экскурсионный выезд к озеру Гижгит. Участники познакомились с новым туристическим маршрутом и узнали азы полевой кухни.</t>
  </si>
  <si>
    <t>Организован экскурсионный выезд. Участники узнали о культуре и истории народов Северной Осетии, познакомились с новыми туристическими маршрутами и узнали азы полевой кухни.</t>
  </si>
  <si>
    <t>Организован экскурсионный выезд Участники узнали о культуре и истории народов Кабардино-Балкарской республики, познамились с новыми туристическими маршрутами, научились кататься на сноуборде и лыжах.</t>
  </si>
  <si>
    <t>Организован экскурсионный выезд в Приэльбрусье. Участники узнали о культуре и истории народов Кабардино-Балкарской республики, познамились с новыми туристическими маршрутами, научились кататься на сноуборде, лыжах и санях. Посетили парк с альпаками.</t>
  </si>
  <si>
    <t>13.11.2023-16.11.2023</t>
  </si>
  <si>
    <t>Спортивные соревнования LIME: мини-футбол (футзал)</t>
  </si>
  <si>
    <t xml:space="preserve">КБР, г. Нальчик, ул. Толстого, физкультурно-спортивный комплекс КБГУ </t>
  </si>
  <si>
    <t xml:space="preserve">Спортивно-патриотический клуб КБГУ "Лайм" </t>
  </si>
  <si>
    <t>Спортивные соревнования LIME: баскетбол (стритбол)</t>
  </si>
  <si>
    <t xml:space="preserve">В рамках реализации проекта "Окружная програма спортивно-патриотического развития молодежи "ProCпорт"" состоялись спортивные соревнования по баскетболу (стритболу) с участием студенческой молодежи в возрасте от 14 до 26 лет. Участие приняли стуеднты вузов и сузов республики, а также школьники КБР. </t>
  </si>
  <si>
    <t>Квест-викторина от Клуба интернациональной дружбы</t>
  </si>
  <si>
    <t>Была организована интеллектуально-развлекательная игра, которая состояла из четырех туров. Звучали вопросы лингвистической, исторической, географической направленности. Участники выполняли конкурсные задания, ориентированные на развитие их коммуникационных навыков. В викторине приняли участие восемь команд. Победу одержала команда "Тигры с Уолл Стрит". Особые призы за активное участие в мероприятии и успешное выполнение уникальных заданий получили три студента: Алим Шанибов, Самира Архестова, Вадим Виндижев. Мероприятие проведено в центре культуры им. Х.С. Темирканова.</t>
  </si>
  <si>
    <t>КБР, г. Нальчик, КБГУ, ул. Толстого, 184</t>
  </si>
  <si>
    <t>03.11.2023-05.11.2023</t>
  </si>
  <si>
    <t>Ставропольский край, г. Ессентуки, пер. Садовый, 23, стадион«Ессентуки Арена»</t>
  </si>
  <si>
    <t>С 3 по 5 ноября 2023 года на стадионе «Ессентуки Арена» в г. Ессентуки, состоялся 5 тур  Комплексных всероссийских соревнований сезона 2023 года, где команда КБГУ принимала участие.</t>
  </si>
  <si>
    <t>Спартакиада "Приз первокурсника"</t>
  </si>
  <si>
    <t>КБР, г. Нальчик, ул.Толстого, 184, ФСК КБГУ</t>
  </si>
  <si>
    <t>30.10.2023-17.11.2023</t>
  </si>
  <si>
    <t xml:space="preserve">С 30 октября по 17 ноября 2023 г. на спортивных площадках КБГУ прошла ежегодная спартакиада "Приз первокурсника КБГУ". Соревнования прошли по 3 игровым видам спорта: волейбол, баскетбол, мини-футбол. ПО итогам игровых дней определены победители и призеры, которые награждены кубками, грамотами и памятными сертификатами. </t>
  </si>
  <si>
    <t>Республика Дагестан, г. Махачкала, стадион "Труд"</t>
  </si>
  <si>
    <t>г.Ессентуки, стадион«Ессентуки Арена»</t>
  </si>
  <si>
    <t xml:space="preserve">Тренинг-семинар "Школа волонтеров-2023" </t>
  </si>
  <si>
    <t>18.12.2023-22.12.2023</t>
  </si>
  <si>
    <t>Студенческий совет КБГУ, волонтерский центр КБГУ</t>
  </si>
  <si>
    <t xml:space="preserve">Для волонтерского актива КБГУ организован ежегодный форум. В программе для участников был представлен образовательный блок, включающий тренинги и лекции, веревочный курс, культурно-творческая программу. </t>
  </si>
  <si>
    <t>Среди студентов колледжа информационных технологий и экономики прошла игра "Тайный санта". Каждый студент вытянул из волшебного мешочка имя, кому он станет сантой этого уходящего года. Далее студенты подготовят подарки и обменяются ими на празднике!</t>
  </si>
  <si>
    <t>Новогодняя акция "Тайный санта"</t>
  </si>
  <si>
    <t>КБР, г. Нальчик, КИТиЭ, ауд. 501</t>
  </si>
  <si>
    <t>В Эльбрусском учебно-научном комплексе КБГУ 28 июля стартовал масштабный федеральный проект «Университетские смены». Первыми базу отдыха посетили 118 школьников из Запорожской области.  
В рамках модуля «Классная встреча» к ребятам сегодня приехали и.о. проректора КБГУ Султан Геккиев и министр по делам молодежи КБР Азамат Люев. Гости пожелали всем участникам хорошего отдыха и положительных эмоций. В начале дня школьники отправились на экскурсию, посетив вместе с кураторами Песчаные замки. 
В течение 10 насыщенных дней для участников смены были организованы образовательные, спортивно-развлекательные и экскурсионные мероприятия, с помощью которых ребята смогли ближе познакомиться с традициями и культурой Кабардино-Балкарии.   
В рамках программы лагеря, совместно с корпорацией Кавказ.РФ, для детей было организовано путешествие к подножию горы Эльбрус на канатной дороге.</t>
  </si>
  <si>
    <t>09.08.2023-18.08.2023</t>
  </si>
  <si>
    <t>Вторая смена Всероссийского проекта «Университетские смены» стартовала 9 августа в ЭУНК КБГУ. 
138 школьников из Донецкой Народной Республики на 10 дней разместились в одном из красивейших мест республики.
Масштабная программа университетских смен КБГУ содержала около 10 модулей по образованию, культурно-патриотическому воспитанию, надпрофессиональной подготовке, а также спортивному, экскурсионному, досуговому профилям.  
В рамках программы лагеря, совместно с корпорацией Кавказ.РФ, для детей было организовано путешествие к подножию горы Эльбрус на канатной дороге.</t>
  </si>
  <si>
    <t>Студенты КБГУ приняли участие в 1-ом турнире среди вузов СКФО по Кавказскому многоборью и заняли почетные места: 
2 место Астемир Жамбеев - бег в гору,
3 место Ахмед Тлимахов - армрестлинг,
3 место Исмаил Мурачаев - стрельба из лука.
Всего наш вуз представляли 6 студентов:
Аккулов Дауд - джау-джип (лазание по масляному канату)
Асанов Темирлан - тутуш (борьба на поясах)
Кундетов Ибрагим - къол таш (толкание камня).</t>
  </si>
  <si>
    <t>КЧР, г. Карачаевск</t>
  </si>
  <si>
    <t>С 24 по 25 июня состоялось выездное мероприятие туристического клуба «Papaha Travel». Команда путешественников направилась в долину «Уштулу», которая расположена в Черекском ущелье. На фоне уникальных пейзажей участники студенческого клуба соревновались в различных видах спорта, проходили квесты и, конечно же, отправлялись в увлекательные походы. По традиции любая поездка в горы заканчивается музыкой и уютным костром, вокруг которого собирается вся команда. Поездка проходила в рамках проекта «Знакомство учащихся КБГУ с Кабардино-Балкарской республикой».</t>
  </si>
  <si>
    <t>В рамках общего собрания студентов - активистов студенческого совета ИПЭиФ - прошли выборы из числа кандидатов на пост председателя студсовета ИПЭиФ. На повестке дня выдвигался так же вопрос о принятии отчета о проделанной деятельности действующего председателя.</t>
  </si>
  <si>
    <t>Студенческий театр КБГУ "Занавес"</t>
  </si>
  <si>
    <t>Вручение дипломов выпускникам педагогического колледжа</t>
  </si>
  <si>
    <t xml:space="preserve">В Сокуровском зале КБГУ состоялось мероприятие "Вручение синих дипломов выпускникам педагогического колледжа - 2023". </t>
  </si>
  <si>
    <t>В рамках общего собрания студентов - активистов студенческого совета ИИИиЦТ - прошли выборы из числа кандидатов на пост председателя студсовета ИИИиЦТ. На повестке дня выдвигался так же вопрос о принятии отчета о проделанной деятельности действующего председателя.</t>
  </si>
  <si>
    <t>Вручение дипломов выпускникам социально-гуманитарного института</t>
  </si>
  <si>
    <t xml:space="preserve">В Сокуровском зале КБГУ состоялось мероприятие "Вручение синих дипломов выпускникам социально-гуманитарного института". </t>
  </si>
  <si>
    <t>Вручение дипломов выпускникам колледжа информационных технологий и экономики</t>
  </si>
  <si>
    <t xml:space="preserve">В Сокуровском зале КБГУ состоялось мероприятие "Вручение синих дипломов выпускникам колледжа информационных технологий и экономики". </t>
  </si>
  <si>
    <t>Вручение дипломов выпускникам института искусственного интеллекта и цифровых технологий</t>
  </si>
  <si>
    <t xml:space="preserve">В Сокуровском зале КБГУ состоялось мероприятие "Вручение синих дипломов выпускникам института искусственного интеллекта и цифровых технологий". </t>
  </si>
  <si>
    <t>Вручение дипломов выпускникам института физики и математики</t>
  </si>
  <si>
    <t xml:space="preserve">В Сокуровском зале КБГУ состоялось мероприятие "Вручение синих дипломов выпускникам института физики и математики". </t>
  </si>
  <si>
    <t>В «Зеленом театре» состоялось  торжественное вручение красных дипломов лучшим студентам Кабардино-Балкарского государственного университета.  В этот замечательный день поддержать выпускников  университета пришли не только близкие и родные, но и уважаемые  наставники в лице руководителей министерств, сотрудников администрации города и, конечно же, и.о. ректора КБГУ Юрия Альтудова. На сцене "Зелёного театра"  выступили: Черим Нахушев, Алим Газаев, Ислам и Карина Киш, Эльдар Жаникаев, государственные ансамбли «Кабардинка» и «Балкария», а также «Терские казаки» и многие другие.  Специальным гостем вечера стал JAH FAR.</t>
  </si>
  <si>
    <t>Вручение дипломов с отличием выпускникам Кабардино-Балкарского государственного университета им. Х.М. Бербекова</t>
  </si>
  <si>
    <t>Вручение дипломов выпускникам института архитекстуры, строительства и дизайна</t>
  </si>
  <si>
    <t xml:space="preserve">В Сокуровском зале КБГУ состоялось мероприятие "Вручение синих дипломов выпускникам института архитекстуры, строительства и дизайна". </t>
  </si>
  <si>
    <t>Вручение дипломов выпускникам института стоматологии и челюстно-лицевой хирургии</t>
  </si>
  <si>
    <t xml:space="preserve">В Сокуровском зале КБГУ состоялось мероприятие "Вручение синих дипломов выпускникам  института стоматологии и челюстно-лицевой хирургии". </t>
  </si>
  <si>
    <t>Вручение дипломов выпускникам института педагогики, психологии и физкультурно-спортивного образования</t>
  </si>
  <si>
    <t xml:space="preserve">В Сокуровском зале КБГУ состоялось мероприятие "Вручение синих дипломов выпускникам института педагогики, психологии и физкультурно-спортивного образования". </t>
  </si>
  <si>
    <t>Вручение дипломов выпускникам института менеджмента, туризма и индустрии гостеприимства</t>
  </si>
  <si>
    <t xml:space="preserve">В Сокуровском зале КБГУ состоялось мероприятие "Вручение синих дипломов выпускникам института менеджмента, туризма и индустрии гостеприимства". </t>
  </si>
  <si>
    <t>Вручение дипломов выпускникам института химии и биологии</t>
  </si>
  <si>
    <t xml:space="preserve">В Сокуровском зале КБГУ состоялось мероприятие "Вручение синих дипломов выпускникам института химии и биологии". </t>
  </si>
  <si>
    <t>Отчетно-выборная конференция председателя студенческого совета института химии и биологии</t>
  </si>
  <si>
    <t>В рамках общего собрания студентов - активистов студенческого совета института химии и биологии (ИХиБ) состоялись выборы из числа кандидатов на пост председателя студсовета ИХиБ. На повестке дня выдвигался так же вопрос о принятии отчета о проделанной работе действующего председателя за отчетный период.</t>
  </si>
  <si>
    <t>Вручение дипломов выпускникам института информатики, электроники и робототехники</t>
  </si>
  <si>
    <t xml:space="preserve">В Сокуровском зале КБГУ состоялось мероприятие "Вручение синих дипломов выпускникам института информатики, электроники и робототехники". </t>
  </si>
  <si>
    <t>Вручение дипломов выпускникам института права, экономики и финансов</t>
  </si>
  <si>
    <t xml:space="preserve">В Сокуровском зале КБГУ состоялось мероприятие "Вручение синих дипломов выпускникам института права, экономики и финансов". </t>
  </si>
  <si>
    <t>Мероприятие ко Дню России "Russian Style"</t>
  </si>
  <si>
    <t>Активисты института информатики, электроники и робототехники подготовили мероприятие, посвященное Дню России. Мероприятие состояло из 4 конкурсных этапов:
1) Викторина;
2) Проверка на знания российского кинематографа (фильмы/сериалы); 
3) «Russian actors»; 
4) «Города».</t>
  </si>
  <si>
    <t>Вручение дипломов выпускникам медицинского факультета</t>
  </si>
  <si>
    <t xml:space="preserve">В Сокуровском зале КБГУ состоялось мероприятие "Вручение синих дипломов выпускникам медицинского факультета". </t>
  </si>
  <si>
    <t>Туристический клуб КБГУ "Papaha Travel"</t>
  </si>
  <si>
    <t>Дополнительная общеобразовательная общеразвивающая программа "Образовательно-туристские программы "Университетские смены - Эльбрус" (2 смена)</t>
  </si>
  <si>
    <t>Дополнительная общеобразовательная общеразвивающая  программа "Образовательно-туристские программы "Университетские смены - Эльбрус" (1 смена)</t>
  </si>
  <si>
    <t>Дополнительная общеобразовательная общеразвивающая программа "Образовательно-туристские программы "Университетские смены - Эльбрус" (3 смена)</t>
  </si>
  <si>
    <t>21.08.2023-30.08.2023</t>
  </si>
  <si>
    <t>Третья смена Всероссийского проекта «Университетские смены» стартовала 21 августа в ЭУНК КБГУ. Участие в 3 смене принимали 155 школьников из городов Донецк, Торез и Харцызск Донецкой Народной республики.
Масштабная программа университетских смен КБГУ содержала около 10 модулей по образованию, культурно-патриотическому воспитанию, надпрофессиональной подготовке, а также спортивному, экскурсионному, досуговому профилям.  
В рамках программы лагеря, совместно с корпорацией Кавказ.РФ, для детей было организовано путешествие к подножию горы Эльбрус на канатной дороге.</t>
  </si>
  <si>
    <t xml:space="preserve">День государственности и День знаний отпраздновали  в Кабардино-Балкарском госуниверситете им. Х.М. Бербекова.  
Более 100 студентов, в числе которых активисты и новоиспеченные первокурсники, приняли участие в торжественной церемонии подъема Государственного флага России, флага Кабардино-Балкарской республике и, конечно же, КБГУ над главным корпусом. В праздничном мероприятии также приняли участие преподаватели и сотрудники университета.  </t>
  </si>
  <si>
    <t>Были проведены выборы нового председателя студенческого совета института информатики, электроники и компьютерных технологий КБГУ.</t>
  </si>
  <si>
    <t>Отчетно - выборная конференция студенческого совета института информатики, электроники и компьютерных технологий  КБГУ</t>
  </si>
  <si>
    <t>Отчетно - выборная конференция студенческого совета медицинской академии КБГУ</t>
  </si>
  <si>
    <t>Были проведены выборы нового председателя студенческого совета медицинской академии КБГУ. Большинством голосов новым председателем была избрана Масаева Марьяна.</t>
  </si>
  <si>
    <t xml:space="preserve">7 сентября в КБГУ им. Х. М. Бербекова стартовала обучающая программа «Наставник».
Как сообщила автор проекта – специалист центра поддержки студенческих объединений, молодежных программ и проектов УМПиВР КБГУ Даяна Лиева, программа «Наставник» направлена на адаптацию и раскрытие потенциала личности студентов-первокурсников при помощи наставничества студентов старших и выпускных курсов.
Отметим, что проект «Наставник» вошел в число победителей Всероссийского конкурса Росмолодёжь.Гранты среди образовательных учреждений высшего образования в 2023 году.Мероприятие проходило три дня и включало в себя три блока: 1. Образовательный (лекции)  2. Практический (тренинги), 3. Итоговый (тестирование и собеседование). Мероприятие проводилось в целях создания благоприятных условий, содействующих развитию социальной и культурной компетенции личности студента вуза, обладающего активной социально-ориентированной жизненной позицией, системой духовных, гражданских и нравственных ценностей. </t>
  </si>
  <si>
    <t>Среди студентов педагогического колледжа был проведен практикум в целях анализа знаний обучающихся о терроризме через призму культуры потребления информации, источниках и каналах ее получения. В рамках семинара решалась задача повышения уровня осознанности и ответственности при работе с информацией, содержащей сведения о преступлениях террористического характера.</t>
  </si>
  <si>
    <t>Состоялся первый сбор участников лагеря "Августенок-2023" во внутреннем дворике КБГУ. На данном мероприятии раздавались путевки и памятки для участников, работалиальтернативные развлекательные площадки, была мини концертная программа и многоедругое. Кроме того работал фотограф, который запечатлел огромное количество положительных эмоции участников.</t>
  </si>
  <si>
    <t>Психологическая игра "Бункер" для студенческого актива института химии и биологии</t>
  </si>
  <si>
    <t>Мероприятие направлено на привлечение первокурсников института химии и биологии во внеучебную студенческую жизнь.</t>
  </si>
  <si>
    <t>Студенческий совет ИИИиЦТ КБГУ</t>
  </si>
  <si>
    <t>Была проведена классическая игра "камень/ножницы/бумага" для студентов КБГУ. Победители получили призы от спонсоров. Мероприятие направлено на привлечение студентов во внеучебную студенческую жизнь и знакомство со студенческим советом.</t>
  </si>
  <si>
    <t>В Красноярске стартовал III Всероссийский студенческий медиафорум «Игры разума». В этом году в масштабном мероприятии очно принимают участие 158 представителей студенческих СМИ, прошедших предварительный отбор. В режиме онлайн к форуму подключатся все вузы, подведомственные Минобрнауки России.
Главной темой «Игр разума» 2023 года стало укрепление межнациональных отношений, что подчеркивает значимость взаимопонимания между различными культурами и народами. Форум предоставляет уникальную площадку для обсуждения актуальных вопросов, связанных с межэтническими и межкультурными отношениями.</t>
  </si>
  <si>
    <t>Были проведены выборы нового председателя студенческого совета медицинского колледжа КБГУ. Большинством голосов новым председателем был избран Кадыкоев Астемир .</t>
  </si>
  <si>
    <t>Отчетно - выборная конференция студенческого совета медицинского колледжа КБГУ</t>
  </si>
  <si>
    <t>Ознакомительная встреча актива клуба с первокурсниками института права, экономики и финансов КБГУ</t>
  </si>
  <si>
    <t>Психологическая игра "Бункер" на институте права, экономики и финансов КБГУ</t>
  </si>
  <si>
    <t>Собрание председателей студенческих советов структурных подразделений КБГУ</t>
  </si>
  <si>
    <t>Для участников лагеря "Августенок-2023" был организован тематический кино-просмотр. Проведены конкурсы, командные тренинги, участников ознакомили с бально-рейтинговой системой лагеря.</t>
  </si>
  <si>
    <t>Представитель центра разъяснила студентам суть явления "экстремизм", рассказала, какие категории молодых людей подвержены вербовке в социальных сетях, а также объяснила, по каким признакам можно распознать в информационно-телекоммуникационной сети "Интернет" материалы экстремистского характера. Студенты привели свои примеры встречающихся им в социальных сетях материалов подобного рода.</t>
  </si>
  <si>
    <t>С 27 по 30 июня 2023 года на стадионе «Ессентуки Арена» в г. Ессентуки, состоялся 4 тур группы «Б» Комплексных всероссийских соревнований (ЕКП No25500, юниоры до 26 лет, футбол) сезона 2023 года, в которых приняла участие команда КБГУ. Команда КБГУ сыграла с командами СПбПУ (Санкт-Петербург), СКФУ (Ставрополь), ДГТУ (Махачкала).</t>
  </si>
  <si>
    <t>11.09.2023-20.09.2023</t>
  </si>
  <si>
    <t>Дополнительная общеобразовательная общеразвивающая  программа "Образовательно-туристские программы "Университетские смены - Эльбрус" (4 смена)</t>
  </si>
  <si>
    <t>В Эльбрусском учебно-научном комплексе КБГУ 11 сентября стартовала и завершающая 4 смена масштабного федерального проекта «Университетские смены». Первыми базу отдыха посетили 118 школьников из Запорожской области.  
В рамках модуля «Классная встреча» к ребятам сегодня приехали и.о. проректора КБГУ Султан Геккиев и министр по делам молодежи КБР Азамат Люев. Гости пожелали всем участникам хорошего отдыха и положительных эмоций. В начале дня школьники отправились на экскурсию, посетив вместе с кураторами Песчаные замки. 
В течение 10 насыщенных дней для участников смены были организованы образовательные, спортивно-развлекательные и экскурсионные мероприятия, с помощью которых ребята смогли ближе познакомиться с традициями и культурой Кабардино-Балкарии.   
В рамках программы лагеря, совместно с корпорацией Кавказ.РФ, для детей было организовано путешествие к подножию горы Эльбрус на канатной дороге.</t>
  </si>
  <si>
    <t>В творческой мастерской А. Н. Сокурова прошел праздничный концерт, посвященный Дню адыгов (черкесов). На сцену вышли известные танцевальные коллективы и солисты республики. Песни звучали на языках народов, живущих в Кабардино-Балкарии.
К празднику перед входом в главный корпус КБГУ организовали традиционные адыгские игрища. И, конечно, всех желающих пригласили в танцевальный круг.</t>
  </si>
  <si>
    <t>Мероприятие проведено в рамках полугодового цикла разговорных встреч, направленных на создание  языковой среды для предоставления студентам КБГУ возможностей практики в английском языке и межкультурных коммуникациях. Площадкой проведения выступил книжный магазин "Книжная среда".</t>
  </si>
  <si>
    <t>Встреча с председателями студенческого совета института права, экономики и финансов</t>
  </si>
  <si>
    <t>Была проведена ознакомительная встреча студенческого актива института права, экономики и финансов КБГУ с председятелями студенческого совета ИПЭиФ, занимавших должность в разные годы.</t>
  </si>
  <si>
    <t>Студенческий совет МА КБГУ</t>
  </si>
  <si>
    <t>В Сокуровском зале прошла интеллектуально-развлекательная викторина «Игры Разума». Игра состояла из 4 этапов: "правда/ложь", "где логика?", "детектив", "своя игра". Участвовали 45 команд.</t>
  </si>
  <si>
    <t xml:space="preserve">Для первокурсников разных структурных подразделений КБГУ студсоветом ИПЭиФ проведена командная психологическая игра "Мафия". На игре моделировали ситуацию "борьбы между организованным меньшинством и неорганизованным большинством". </t>
  </si>
  <si>
    <t>Проведено ежегодное мероприятие медицинской академии КБГУ для первокурсников"Лига интеллектуальных докторов". Игра состоит из 4 этапов, на которых проверяются знания в сфере здравоохранения, биологии и медицины.</t>
  </si>
  <si>
    <t>Мероприятие проведено в рамках полугодового цикла разговорных встреч, направленных на создание языковой среды для предоставления студентам КБГУ возможностей практики в английском языке и межкультурных коммуникациях. Площадкой проведения выступил Центр испанской культуры КБГУ.</t>
  </si>
  <si>
    <t>В рамках еженедельных встреч с активом клуба проведена партия в настольную игру "Цитадели".</t>
  </si>
  <si>
    <t>Встреча со студентами института менеджмента, туризма и гостиничного дела</t>
  </si>
  <si>
    <t>Квест для первокурсников "Тропа первака"</t>
  </si>
  <si>
    <t>Для студентов первых курсов проведено ежегодное мероприятие "Тропа первака". Мероприятие направлено на знакомство первокурсников со студенческими клубами, общественными организациями, структурными подразделениями. Отборочный этап прошли 200 команд с общим охватом порядка 1000 человек. Мепроприятие проходило на территории КБГУ в виде квест-игры, где участникам необходимо было пройти как можно больше этапов для победы. Выйграла команда "Строители - ИАСиД и КД". Участники команды получили памятные призы и атоматическое участие в школе профсоюзного актива "ProSvet 2023".</t>
  </si>
  <si>
    <t>В Темиркановском зале прошла встреча студентов КБГУ с представителями Молодежного центра КБР о возможностях развития молодежного предпринимательства. Спикерами выступили: Тлимахова Ляна, сотрудник Молодежного центра КБР, куратор по развитию молодежного предпринимательства в КБР Жемухов Харун, победитель Всероссийского конкурса «Твоё дело», молодой предприниматель.</t>
  </si>
  <si>
    <t>Торжественное посвящение первокурсников в студенты КБГУ</t>
  </si>
  <si>
    <t>Собеседование для вступления в киноклуб КБГУ</t>
  </si>
  <si>
    <t xml:space="preserve">Состоялась разговорная встреча со студенческим активом института менеджмента, туризма и гостиничного дела, направленная на их знакомство с деятельностью клуба. Место проведения - аудитория студенческого совета института. </t>
  </si>
  <si>
    <t xml:space="preserve">Проведен спортивный фестиваль, посвященный дню основания КБГУ.Участники мероприятия преодолели оздоровительный путь в 1000 ступеней, приняли участие в спортивных состязаниях и отведали вкуснейший плов. Организаторами выступили: профсоюзная организация работников и профсоюзная организация студентов и аспирантов КБГУ.
 </t>
  </si>
  <si>
    <t>Состоялась встреча клуба молодых предпринимателей со студентами КБГУ. Мероприятие организовано Молодежным центром совместно с Министерством по делам молодёжи КБР в рамках реализации Всероссийской программы по развитию молодёжного предпринимательства.
В рамах мероприятия участники наглядно на примере двух бизнесь-кейсов увидели, как создается малый бизнес в рамках современной экономики России и какие возможности открываются молодым предпринимателям.</t>
  </si>
  <si>
    <t>Иностранные студенты КБГУ приняли участие во II Международном форуме "Кавказ-Каспий-Восток", который проходил на базе Северо-Кавказского федерального университета. Программа включала пленарное заседание с участием Минобрнауки, Росстотрудничества, Росмолодежи, Фонда Горчакова, АИС РФ, также поведены мастер классы, интерактивные квизы, экскурсии по городу и не только.</t>
  </si>
  <si>
    <t>Посвящение в первокурсники педагогического колледжа КБГУ</t>
  </si>
  <si>
    <t>29.10.2023-01.11.2023</t>
  </si>
  <si>
    <t>УМПиВР КБГУ, ТЭО "Зеленый дозор" КБГУ</t>
  </si>
  <si>
    <t>Открытый кубок СКФО по волейболу  среди мужских и женских команд высших учебных заведений 2023 года памяти Алиева А.И.</t>
  </si>
  <si>
    <t>С 25 по 29 октября 2023 года в г. Махачкала, Республики Дагестан прошел Открытый кубок СКФО по волейболу  среди мужских и женских команд высших учебных заведений, посвящённый памяти доктора экономических наук Ахмеда Алиева.
За почётный трофей боролись сборные вузов из Махачкалы, Грозного, Нальчика и Улан-Удэ. Главный тренер сборной команды КБГУ – Анна Коноплева. По итогам соревнований сборная команда КБГУ заняла 2 и 3 место.</t>
  </si>
  <si>
    <t>Окружной спортивно-патриотический форум молодежи "ProСпорт"</t>
  </si>
  <si>
    <t>22.11.2023-26.11.2023</t>
  </si>
  <si>
    <t>В ЭУНК КБГУ завершился  форум  «Lime» в рамках окружной программы спортивно-патриотического развития молодежи «PROСПОРТ».
Более 100 студентов из регионов СКФО собрались на Базе КБГУ, чтобы спортивно провести 4 дня: мастер-классы, спортивные квесты, лекции и атмосферные вечерки.
Цель форума - пропаганда здорового образа жизни среди молодежи и создание площадки для повышения эффективности занятий физической культурой, спортом.
Мероприятие реализовано в рамках гранта от Росмолодежь.</t>
  </si>
  <si>
    <t>Посвящение в первокурсники института информатики, электроники и робототехники КБГУ</t>
  </si>
  <si>
    <t>Для студентов КБГУ была организована игра на знание дорам. Была жаркая конкурентная борьба, море эмоций у участников.</t>
  </si>
  <si>
    <t>Состоялась регулярная встреча со студенческим активом института химии и биологии, направленная на закомство актива с деятельностью клуба. Место проведения - аудитория студенческого совета института.</t>
  </si>
  <si>
    <t xml:space="preserve">В Эльбрусском учебном научном комплексе проведена образовательная школа для студентов КБГУ - экологов-активистов. Ребята разработали и защитили свои проекты, посетили мастер-классы, а также получили актуальные знания в сфере экологии.В рамках школы состоялась нлайн конференция с руководителем Всероссийской студенческой программы ППК «РЭО» «Зеленая лига» Ириной Левиной, где ребята узнали о программе, а также возможностях развития и продвижения волонтера-эколога на сегодняшнее время. Также были организованны образовалки в формате конвейера и альтернативные площадки с мастер-классами по переработке вторсырья. 
</t>
  </si>
  <si>
    <t>Школа актива "Зеленый дозор"</t>
  </si>
  <si>
    <t>Посвящение в первокурсники института химии и биологии</t>
  </si>
  <si>
    <t xml:space="preserve">Для первокурсников ИИЭиР была организована концертная программа, в которой принимали участие непосредственно студенты 1 курса. Помимо этого первокурсники разделились на команды и соперничали между собой содержанием своей программы.  </t>
  </si>
  <si>
    <t xml:space="preserve">Для первокурсников ИХиБ была организована концертная программа, в которой принимали участие непосредственно студенты 1 курса. Помимо этого первокурсники разделились на команды и соперничали между собой содержанием своей программы.  </t>
  </si>
  <si>
    <t>Комплексные Всероссийские соревнования сезона 2023</t>
  </si>
  <si>
    <t xml:space="preserve">Посвящение в первокурсники социально-гуманитарного института </t>
  </si>
  <si>
    <t xml:space="preserve">Для первокурсников СГИ была организована концертная программа, в которой принимали участие непосредственно студенты 1 курса. Помимо этого первокурсники разделились на команды и соперничали между собой содержанием своей программы.  </t>
  </si>
  <si>
    <t xml:space="preserve">Посвящение в первокурсникиинституа менеджмента, туризма и индустрии гостеприимства </t>
  </si>
  <si>
    <t xml:space="preserve">Для первокурсников ИМТиИГ была организована концертная программа, в которой принимали участие непосредственно студенты 1 курса. Помимо этого первокурсники разделились на команды и соперничали между собой содержанием своей программы.  </t>
  </si>
  <si>
    <t>Состоялась разговорная встреча со студенческим активом СГИ, направленная на закомство студентов с деятельностью клуба. Место проведения - аудитория студенческого совета института.</t>
  </si>
  <si>
    <t>Беседа со студентами "Нет ненависти и вражде"</t>
  </si>
  <si>
    <t>Посвящение в первокурсники колледжа информационных технологий и экономики КБГУ</t>
  </si>
  <si>
    <t xml:space="preserve">Посвящение в первокурсники институа педагогики, психологии и физкультурно-спортивного образования </t>
  </si>
  <si>
    <t>В рамках реализации проекта "Окружная програма спортивно-патриотического развития молодежи "ProCпорт"" состоялись спортивные соревнования по мини-футболу  с участием студенческой молодежи в возрасте от 14 до 26 лет. Участие приняли студенты вузов и сузов республики, а также школьники КБР.</t>
  </si>
  <si>
    <t xml:space="preserve">Для первокурсников КИТиЭ была организована концертная программа, в которой принимали участие непосредственно студенты 1 курса. Помимо этого первокурсники разделились на команды и соперничали между собой содержанием своей программы.  </t>
  </si>
  <si>
    <t>Организован психологический тренинг «Манипулятивное общение: понятие и способы защиты от манипуляции», проведенный доцентом Института педагогики, психологии и физкультурно-спортивного образования, кандидатом психологических наук Малкаровой Р.Х. со студентами Института физики и математики и Института искусственного интеллекта и цифровых технологий. Рассмотрены виды и методы манипуляции, способы защиты от нее.</t>
  </si>
  <si>
    <t>Посвящение в первокурсники института искусственного инеллекта и цифровых технологий</t>
  </si>
  <si>
    <t xml:space="preserve">Для первокурсников ИИИиЦТ была организована концертная программа, в которой принимали участие непосредственно студенты 1 курса. Помимо этого первокрусники разделились на команды и соперничали между собой содержанием своей программы.  </t>
  </si>
  <si>
    <t>Всероссийский слет волонтеров-экологов "Экологическая перекличка - 2023"</t>
  </si>
  <si>
    <t>09.11.2023-13.11.2023</t>
  </si>
  <si>
    <t>В Эльбрусском учебно-научном комплексе КБГУ прошел Всероссийского слета волонтеров-экологов «Экологическая перекличка» - 2023. Программа форума включала лекции от Всероссийского экологического движения «Экосистема», Всероссийской общественной организации волонтеров-экологов «Делай!», ППК «РЭО», проекта «Чистая Арктика», альтернативные площадки по переработке и не только.
Почетными гостями слета стали Министр природных ресурсов и экологии КБР Ильяс Шаваев и Министр по делам молодежи КБР Азамат Люев</t>
  </si>
  <si>
    <t xml:space="preserve">На базе ЭУНК КБГУ состоялся молодежный образовательный лагерь «Луч», направленный на социализацию и адаптацию в обществе студентов в возрасте от 14 до 25 лет, а также на организацию их отдыха и оздоровление.
В течение 5 дней с участниками Проекта работали эксперты КБР и КБГУ, лидеры общественных мнений, команда наставников вуза. Проведены занятия по личностному росту и тренинги по эффективному общению, а также использованы методики, позволяющие раскрыться каждому, понять и познать себя.
</t>
  </si>
  <si>
    <t>16.11.2023-18.11.2023</t>
  </si>
  <si>
    <t>Посвящение в первокурсники института права, экономики и финансов</t>
  </si>
  <si>
    <t xml:space="preserve">Для первокурсников ИПЭиФ была организована концертная программа, в которой принимали участие непосредственно студенты 1 курса. Помимо этого первокрусники разделились на команды и соперничали между собой содержанием своей программы.  </t>
  </si>
  <si>
    <t xml:space="preserve">Естественно-научная олимпиада им. Л.Х. Слонова прошла в два этапа. Первый этап - отборочный. Он включал в себя вопросы по таким областям наук, как астрономия, биология, физика, химия, география и медицина. 
Второй этап - практический путь проверки знаний по зоологии и умения решать задачи.  </t>
  </si>
  <si>
    <t>Всеросийская школа семинар "СТИПКОМ"</t>
  </si>
  <si>
    <t xml:space="preserve">С 17 по 20 ноября в г. Челябинск проходила школа стипендиальных комиссий «СТИПКОМ-2023». КБГУ на «СТИПКОМ» представлял руководитель жилищно-бытовой комиссии первички – Кашироков Нурмухамед Алимович, призер и финалист «Студлидер-2023 СКФО» и «Молодой профсоюзный лидер СКФО».
«СТИПКОМ-2023» дает нормативно-правовую базу, знания о формировании Федеральных законов и Постановлений Правительства, а также знакомство с товарищами и коллегами по всей стране. </t>
  </si>
  <si>
    <t>Посвящение в первокурсники института стоматологии и челюстно-лицевой хирургии</t>
  </si>
  <si>
    <t>Студенческий совет ИСиЧЛХ КБГУ</t>
  </si>
  <si>
    <t xml:space="preserve">Для первокурсников ИСиЧЛХ была организована концертная программа, в которой принимали участие непосредственно студенты 1 курса. Помимо этого первокрусники разделились на команды и соперничали между собой содержанием своей программы.  </t>
  </si>
  <si>
    <t>Посвящение в первокурсники института физики и математики</t>
  </si>
  <si>
    <t>Студенческий совет ИФиМ КБГУ</t>
  </si>
  <si>
    <t>Посвящение в первокурсники института архитектуры, строительства и дизайна</t>
  </si>
  <si>
    <t xml:space="preserve">Для первокурсников ИаСиД была организована концертная программа, в которой принимали участие непосредственно студенты 1 курса. Помимо этого первокрусники разделились на команды и соперничали между собой содержанием своей программы.  </t>
  </si>
  <si>
    <t xml:space="preserve">Посвящение в первокурсники медицинской академии </t>
  </si>
  <si>
    <t xml:space="preserve">Для первокурсников МА была организована концертная программа, в которой принимали участие непосредственно студенты 1 курса. Помимо этого первокрусники разделились на команды и соперничали между собой содержанием своей программы.  </t>
  </si>
  <si>
    <t>УМПиВР КБГУ, студенческий театр КБГУ "Занавес"</t>
  </si>
  <si>
    <t>Состоялась разговорная встреча со студенческим активом ИППиФСОиПК, направленная на закомство ребят с деятельностью клуба. Место проведения - аудитория студенческого совета института.</t>
  </si>
  <si>
    <t>28 ноября в зале им. Темирканова состоялся отчетный тренинг-семинар в рамках образовательной программы «Наставник» с приглашенным экспертом - Оксаной Кушховой - заместителем директора Молодежного многофункционального центра КБР. Наставники успешно прошли все тренинги подготовленные  экспертом, поделились опытом, а также, рассказали о впечатлениях и трудностях, с которыми приходится сталкиваться, выполняя наставническую деятельность.</t>
  </si>
  <si>
    <t>Организована лекция для студентов направления "История" и обучающихся педагогического колледжа. В качестве лектора выступила заведующая кафедрой истории России, доцент, кандидат исторических наук Соблирова З.Х., рассказавшая студентам об установленных федеральными законами особых отличительных знаках России, олицетворяющих её национальный суверенитет и самобытность. В ходе мероприятия продемонстрирован документальный фильм "ДНК России. Символы России" подготовленный Российским обществом "Знание".</t>
  </si>
  <si>
    <t xml:space="preserve">В КБГУ прошел фестиваль студенческих клубов "СТУДstock", реализуемый при поддержке «Росмолодежи».
На площадке собрались все представители студенческих объединений и клубов, но! «СТУДstock» — это не просто «про клубы», это масштабный праздник студенческих идей, творчества, талантов и культуры, место встречи и новых коммуникаций.
Очень приятно было видеть сегодня в гостях у КБГУ представителей студенческих объединений вузов и ссузов КБР.
В программе мероприятия:
- более 20 клубных площадок;
- национальная кухня;
- экоплощадка по переработке;
- культовая игра «Монополия» по мотивам КБГУ (да еще и огромных размеров);
- крутые конкурсы и призы с символикой мероприятия;
- классный плейлист под атмосферу и не только.
Шумно, весело и полезно пролетели два часа фестиваля! 
</t>
  </si>
  <si>
    <t>В рамках реализации проекта "Программа патриотического воспитания студентов Кабардино-Балкарского государственного университета им.Х.М. Бербекова" проведена экскурсия в г. Владикавказ с участием представителей структурных подразделений и студенческих объединений КБГУ.
Маршрут экскурсии: Мемориальное кладбище-пантеон Аллея славы – Храм Иоанна Воина – Памятник Георгию Победоносцу – мемориал славы республики Северная Осетия-Алания – 100 метровое мозаичное панно с этапами обороны Владикавказа от немецко-фашистских захватчиков – памятник Екатерине II или скульптурная группа «Екатерина принимает Осетию в состав России» - памятник Советской милиции – скульптурная композиция «Жертвам теракта» в городе Беслан Михаила Шемякина – Исторический центр – военная крепость Владикавказ – памятник Иссе Плиеву – памятник Дзаугу Бугулову (основатель города) – Армянская апостольская церковь святого Григория-Просветителя – площадь Ленина - Академический русский театр имени Вахтангова – фонтан Нарт Сослан - проспект Мира и пешеходная зона - Центральный парк культуры и отдыха им. Коста Хетагурова - Суннитская мечеть.</t>
  </si>
  <si>
    <t>Состоялась разговорная встреча со студенческим активом института информатки, искусственного интеллека и цифровых технологий, направленная на закомство ребят с деятельностью клуба. Место проведения - аудитория студенческого совета института.</t>
  </si>
  <si>
    <t>1 декабря на точке кипения состоялся «Слёт Волонтёров КБГУ». Участников ознакомили с  видами добровольческой деятельности, работой Ресурсного центра КБГУ,  волонтёры-медики проедставили как грамотно оказывать первую помощь, Проведены лекции по актуальным направлениям волонтерства.</t>
  </si>
  <si>
    <t>1 и 2 декабря в мастерской творческого объединения "Синдикат" в рамках кинолектория "Киноман" прошли просмотры фильмов. Участники смотрели: • фильм "Курьер" (1986), реж. Карен Шахназаров • фильм "Цвет граната" (1968), реж. Сергей Параджанов После просмотров прошло обсуждение фильмов.</t>
  </si>
  <si>
    <t xml:space="preserve">Прошел самый долгожданный молодежный конкурс КБГУ. За звание лучшего студента соревновались 9 участников, тематикой шоу-конкурса стало будущее. Участники подготовили презентации-визитки, выступления с творческими номерами. В качестве жюри приглашены артисты, творческие деятели, сотрудники вуза: Лиева Даяна, Карцева Диана, Кокоев Георгий, Аубекир Мизиев и Алоева Белина. Приз зрительских симпатий достался Вороковой Даяне, победителем конкурса стала Аккиева Аида. </t>
  </si>
  <si>
    <t>Состоялась разговорная встреча со студенческим активом медицинского колледжа, была направлена на закомство ребят с деятельностью клуба. Место проведения - аудитория студенческого совета колледжа.</t>
  </si>
  <si>
    <t>12 декабря в КБГУ состоялся концерт, посвещенный дню волонтера, в рамках которого были объявлены результаты конкурса "Волонтер года 2023".
Финалисты конкурса были торжественно награждены
В номинации «Открытие года» победили Амин Сокуров и Ислам Кудаев.
Второе место заняла Элина Алиханова. 
Ну а Волонтером года стал Азамат Анаев-студент Института искусственного интеллекта и цифровых технологий. В честь торжества были предоставлены яркие творческие номера, организованные добровольцами вуза.</t>
  </si>
  <si>
    <t>Клуб о моде КБГУ "Savoir"</t>
  </si>
  <si>
    <t>В рамках работы студенческого клуба о моде для обмена опытом и общения в университет на встречу со студентами приглашена Шогенова Фатима - основательница российского бренда "Hatsibana". Она поделилась накопленным опытом, рассказала о последнем показе коллекции, проходившем в ОАЭ, ответила на вопросы аудитории.</t>
  </si>
  <si>
    <t>Профориентационная ярмарка для школьников</t>
  </si>
  <si>
    <t xml:space="preserve">Проведена еженедельная разговорная встреча со студенческим активом ИАСиД, мероприятие направлено на знакомство студентов с деятельностью клуба. </t>
  </si>
  <si>
    <t>Вечер презентаций от клуба азиатской культуры КБГУ "Asia Party"</t>
  </si>
  <si>
    <t>Культурно-развлекательное мероприятие, в рамках которого были рассмотрены вопросы, связанные с азиатской культурой, а также выявлены победители онлайн-конкурса, проходившего на странице клуба</t>
  </si>
  <si>
    <t>Культурно-творческое мероприятие, направленное на демонстрацию студентами знаний в сфере японской анимации</t>
  </si>
  <si>
    <t>Новогодний студенческий бал</t>
  </si>
  <si>
    <t>КБР, г. Нальчик, ул. Чернышевского, 173, Спортивный зал ГУК</t>
  </si>
  <si>
    <t>УМПИВР КБГУ</t>
  </si>
  <si>
    <t>В КБГУ прошел ежегодный студенческий бал. Согласно тематике этого года участники и гости бала воссоздали атмосферу танцевального вечера периода окончания 90-х - начало 2000-х. Все детали были подсторены под стилистику вечера: костюмы, музыкальное сопровождение, программа,  танцы, игры и конкурсы. Королем и королевой бала стали Третьяков Данил Вадимович и Мокаева Марианна Керимовна.</t>
  </si>
  <si>
    <t>Турнир по игре "Что? Где? Когда?"</t>
  </si>
  <si>
    <t>Межрегиональная школа профсоюзного актива "ProSvet 2023"</t>
  </si>
  <si>
    <t>13.12.2023-17.12.2023</t>
  </si>
  <si>
    <t>Психолого-педагогический образовательный интенсив для студентов и преподавателей института педагогики, психологии и ФСО</t>
  </si>
  <si>
    <t>02.12.2023-03.12.2023</t>
  </si>
  <si>
    <t>УМПиВР КБГУ, ИППиФСО КБГУ</t>
  </si>
  <si>
    <t>В КБГУ состоялся зимний сезон долгожданной интеллектуальной игры "ЧГК". Для участия в турнире подали заявки 8 команд из числа сотрудников вуза. К организации мероприятия привлечены студенты-активисты клуба настольных игр КБГУ. Призовые места распределились следующим образом:
1 место – команда "Рик Санчес" (УНИиИД);  
2 место – команда ИПЭиФ; 
3 место – команда "Диванные эксперты" (ректорат).
Турнир стал уже традиционным, второй год подряд 21 декабря интеллектуальная элита университета имеет возможность блеснуть интеллектом не только в своей профессиональной деятельности но и всем своим накопленным багажом знаний и смекалки.</t>
  </si>
  <si>
    <t>На площадке ЭУНК КБГУ прошла межригиональная школа профсоюзного актива "ProSvet 2023", где лидеры профсоюзного движения прокачивали свои навыки в профильной области.</t>
  </si>
  <si>
    <t>Новогодняя благотворительная ярмарка</t>
  </si>
  <si>
    <t>В холле главного корпуса КБГУ прошла ежегодная "Новогодняя благотворительнавя ярмарка". В этом году все вырученные деньги пошли на исполнение новогодних желаний детей-сирот или оставшихся без попечения родителей</t>
  </si>
  <si>
    <t>В рамках реализации проекта "Программа патриотического воспитания студентов Кабардино-Балкарского государственного университета им.Х.М. Бербекова" проведена серия экскурсионных выездов по регионам Северного Кавказа. 26 ноября ребята отправились с экскурсией в урочище Джилы-Су. Урочище Джилы-Су расположилось на северном склоне Эльбруса на высоте около 2500 метров. Помимо лечебных источников, здесь есть несколько водопадов, гигантские скульптуры причудливой формы, созданные из застывшей вулканической лавы самой природой. 
Группа тура прогулялись к нарзанным источникам и водопадам района урочища Джилы-Су. Известно, что нарзаны в Джилы-Су обладают разным вкусом и свойствами. Они даже имеют собственные названия – «Желудочный», «Глазной», «Почечный», «Печеночный». Маршрут тура был следующий: урочище Джилы-Су – Водопад Султан – водопад Каракая-Су – водопад Эмир – Долина Нарзанов.</t>
  </si>
  <si>
    <t>Экскурсионный выезд в урочище Джилы Су</t>
  </si>
  <si>
    <t>В рамках реализации проекта "Программа патриотического воспитания студентов Кабардино-Балкарского государственного университета им.Х.М. Бербекова" проведена серия экскурсионных выездов по регионам Северного Кавказа с участием студентов вуза.26 ноября ребята отправились с экскурсией в Чегемское ущелье.Чегемское ущелье знаменито своей красотой. Резные пики и загадочные тропы покорили множество гостей, и манят их возвращаться год за годом. Дышится здесь легче и свободнее, а созерцать природу можно часами, забыв обо всех тревогах. Окунемся и мы в эту сказку.
Название Чегемского ущелья в дословном переводе означает «поломанную» или же сломанную землю. И когда попадаешь в это ущелье, в теснину, становится понятно насколько точно подобрано это интересное наименование. И действительно, в Чегемском ущелье есть всё, чем может гордиться Кабардино-Балкария: это и удивительной красоты горы, и стремительные водопады и конечно же, чистейшие горные реки.
Маршрут тура был следующий: Малый чегемский водопад Адай-Су – теснина реки Чегем – большой чегемский водопад Су-Аузу-Су – гора Тихтенген – Нарзанный источник – группа усыпальниц Фардык-Кешене.</t>
  </si>
  <si>
    <t>Экскурсионный выезд в Чегемское ущелье</t>
  </si>
  <si>
    <t>В творческой мастерской А.Н. Сокурова прошло торжественное мероприятие, посвященное дню основания Добровольной молодежной дружины КБГУ «Эльбрус». Uлавной целью является – поощрение благодарственными письмами и вручение удостоверений членам ДМД «Эльбрус». Организаторами и участниками были члены ДМД «Эльбрус» и студенты КБГУ. Мероприятие посетили сотрудники МВД России по КБР капитан полиции Алчагирова Инга, инспектор Кишева ИринаА, а также заместитель начальника УМПиВР КБГУ Кумыков Резуан. Удостоверения получили 15 рядовых ДМД «Эльбрус». А также в состав Дружины вступили 7 новобранцев.</t>
  </si>
  <si>
    <t>Выездное мероприятие в Приэльбрусье</t>
  </si>
  <si>
    <t>Организован экскурсионный выезд в Приэльбрусье. Участники узнали о культуре и истории народов Кабардино-Балкарской республики, познамились с новыми туристическими маршрутами, научились кататься на сноуборде, лыжах и санях. Желающие освоили навыки верховой езды на лошадях.</t>
  </si>
  <si>
    <t>КБР, курорт "Эльбрус"</t>
  </si>
  <si>
    <t xml:space="preserve">Лига интеллектуальных докторов </t>
  </si>
  <si>
    <t>Клуб о моде КБГУ "Savoir", фото клуб КБГУ "FOX"</t>
  </si>
  <si>
    <t>id</t>
  </si>
  <si>
    <t>title</t>
  </si>
  <si>
    <t>date</t>
  </si>
  <si>
    <t>level</t>
  </si>
  <si>
    <t>types</t>
  </si>
  <si>
    <t>location</t>
  </si>
  <si>
    <t>organizations</t>
  </si>
  <si>
    <t>organizationRole</t>
  </si>
  <si>
    <t>description</t>
  </si>
  <si>
    <t>participantsOther</t>
  </si>
  <si>
    <t>participantsSpo</t>
  </si>
  <si>
    <t>participantsVo</t>
  </si>
  <si>
    <t>participantsForeign</t>
  </si>
  <si>
    <t>participantsTotal</t>
  </si>
  <si>
    <t>format</t>
  </si>
  <si>
    <t>Духовно-нравственное, Гражданско-патриотическое</t>
  </si>
  <si>
    <t>10.01.2023-12.01.2023</t>
  </si>
  <si>
    <t>15.01.2023-17.01.2023</t>
  </si>
  <si>
    <t>06.02.2023-10.02.2023</t>
  </si>
  <si>
    <t>03.04.2023-28.04.2023</t>
  </si>
  <si>
    <t>25.04.2023-28.04.2023</t>
  </si>
  <si>
    <t>26.04.2023-29.04.2023</t>
  </si>
  <si>
    <t>29.04.2023-30.04.2023</t>
  </si>
  <si>
    <t>29.04.2023-01.05.2023</t>
  </si>
  <si>
    <t>02.05.2023-05.05.2023</t>
  </si>
  <si>
    <t>04.05.2023-09.05.2023</t>
  </si>
  <si>
    <t>04.05.2023-05.05.2023</t>
  </si>
  <si>
    <t>11.05.2023-14.05.2023</t>
  </si>
  <si>
    <t>12.05.2023-13.05.2023</t>
  </si>
  <si>
    <t>16.05.2023-23.05.2023</t>
  </si>
  <si>
    <t>22.05.2023-23.05.2023</t>
  </si>
  <si>
    <t>23.05.2023-24.05.2023</t>
  </si>
  <si>
    <t>24.05.2023-28.05.2023</t>
  </si>
  <si>
    <t>26.05.2023-30.05.2023</t>
  </si>
  <si>
    <t>07.06.2023-10.06.2023</t>
  </si>
  <si>
    <t>13.06.2023-16.06.2023</t>
  </si>
  <si>
    <t>13.06.2023-16.06.2024</t>
  </si>
  <si>
    <t>16.06.2023-19.06.2023</t>
  </si>
  <si>
    <t>24.06.2023-25.06.2023</t>
  </si>
  <si>
    <t>27.09.2023-30.09.2023</t>
  </si>
  <si>
    <t>16.10.2023-19.10.2023</t>
  </si>
  <si>
    <t>25.10.2023-29.10.2023</t>
  </si>
  <si>
    <t>04.11.2023-07.11.2023</t>
  </si>
  <si>
    <t>08.11.2023-10.11.2023</t>
  </si>
  <si>
    <t>15.11.2023-19.11.2023</t>
  </si>
  <si>
    <t>17.11.2023-22.11.2023</t>
  </si>
  <si>
    <t>17.11.2023-20.11.2023</t>
  </si>
  <si>
    <t>22.11.2023-24.11.2023</t>
  </si>
  <si>
    <t>Состоялся Региональный турнир среди молодежи от 15 до 26 лет по армрестлингу  в спортивно-физкультурном комлексе КБГУ. Мероприятие проводится в рамках реализации программы проекта "Окружная программа развития спортивно-патриотического воспитания "ProСпорт"".</t>
  </si>
  <si>
    <t>Состоялся Региональный турнир среди молодежи от 15 до 26 лет по волейболу в спортивно-физкультурном комлексе КБГУ. Мероприятие проводится в рамках реализации программы проекта "Окружная программа развития спортивно-патриотического воспитания "ProСпорт"".</t>
  </si>
  <si>
    <t>Состоялся Региональный турнир среди молодежи от 15 до 26 лет по настольному теннису в спортивно-физкультурном комлексе КБГУ. Мероприятие проводится в рамках реализации программы проекта "Окружная программа развития спортивно-патриотического воспитания "ProСпорт"".</t>
  </si>
  <si>
    <t>Помощь в организации мероприятия</t>
  </si>
  <si>
    <t>Участники волонтерского центра КБГУ оказали Помощь в организации мероприятия всероссийской олиммпиады школьников по ОБЖ.</t>
  </si>
  <si>
    <t>Участники волонтерскогоц ентра КБГУ оказали Помощь в организации мероприятия мероприятия "Конференция СКФО "Digital навыки и цифровые сервисы для самозанятых""</t>
  </si>
  <si>
    <t>Состоялась встреча руководства чемпионата "ArtMasters" со студентами и учащимися КБР. В рамках встречи прошло подписание соглашения о сотрудничестве КБГУ и АНО «Национальный открытый чемпионат творческих компетенций «АртМастерс» и.о. проректора КБГУ по научно-исследовательской работе Светланой Хашировой и директором чемпионата Бориславом Володиным. Волонтеры КБГУ оказали Помощь в организации мероприятия мероприятия.</t>
  </si>
  <si>
    <t>Волонтеры центра КБГУ оказали Помощь в организации мероприятия мероприятия "Открытая лекция президента  Научно-исследовательского центра «Курчатовский институт», член-корреспондента Российской академии наук, доктора физико-математических наук, ведущего физика и инноватора Ковальчука Михаила Валентиновича".
В творческой мастерской А.Н.Сокурова  собрались руководители вуза, профессорско-преподавательский состав, молодые специалисты, студенты университета и гости из ведущих научных и образовательных центров КБР.</t>
  </si>
  <si>
    <t>Волонтеры центра КБГУ оказали Помощь в организации мероприятия мероприятия "Выставка костюмов из кинофильма «Фауст» Александра Сокурова".</t>
  </si>
  <si>
    <t>Волонтеры центра КБГУ оказали Помощь в организации мероприятия мероприятия "Expo 2023". В рамках программы мероприятия участники получили возможность послушать лекции от ведущих специалистов республики, владельцев крупных сетевых проектов и стать обладателем ценных призов. Студенты также могли посетить ярмарку вакансий, которая располагается в холле главного корпуса.</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</si>
</sst>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d\.mm\.yyyy"/>
  </numFmts>
  <fonts count="45" x14ac:knownFonts="1">
    <font>
      <sz val="11"/>
      <color theme="1"/>
      <name val="Calibri"/>
      <family val="2"/>
      <charset val="204"/>
      <scheme val="minor"/>
    </font>
    <font>
      <sz val="11"/>
      <color theme="1"/>
      <name val="Calibri"/>
      <family val="2"/>
      <charset val="204"/>
      <scheme val="minor"/>
    </font>
    <font>
      <sz val="11"/>
      <color theme="1"/>
      <name val="Calibri"/>
      <family val="2"/>
      <scheme val="minor"/>
    </font>
    <font>
      <b/>
      <sz val="9"/>
      <color theme="1"/>
      <name val="Times New Roman"/>
      <family val="1"/>
      <charset val="204"/>
    </font>
    <font>
      <sz val="9"/>
      <color theme="1"/>
      <name val="Times New Roman"/>
      <family val="1"/>
      <charset val="204"/>
    </font>
    <font>
      <u/>
      <sz val="11"/>
      <color theme="10"/>
      <name val="Calibri"/>
      <family val="2"/>
      <scheme val="minor"/>
    </font>
    <font>
      <sz val="8"/>
      <color theme="1"/>
      <name val="Calibri"/>
      <family val="2"/>
      <charset val="204"/>
      <scheme val="minor"/>
    </font>
    <font>
      <sz val="9"/>
      <name val="Times New Roman"/>
      <family val="1"/>
      <charset val="204"/>
    </font>
    <font>
      <u/>
      <sz val="11"/>
      <color theme="10"/>
      <name val="Calibri"/>
      <family val="2"/>
      <charset val="204"/>
    </font>
    <font>
      <sz val="11"/>
      <name val="Calibri"/>
      <family val="2"/>
      <charset val="204"/>
    </font>
    <font>
      <sz val="9"/>
      <color rgb="FF000000"/>
      <name val="Times New Roman"/>
      <family val="1"/>
      <charset val="204"/>
    </font>
    <font>
      <sz val="11"/>
      <color rgb="FF000000"/>
      <name val="Calibri"/>
      <family val="2"/>
      <charset val="204"/>
    </font>
    <font>
      <sz val="11"/>
      <color theme="1"/>
      <name val="Calibri"/>
      <family val="2"/>
      <charset val="204"/>
      <scheme val="minor"/>
    </font>
    <font>
      <sz val="11"/>
      <name val="Calibri"/>
      <family val="2"/>
      <charset val="204"/>
    </font>
    <font>
      <sz val="11"/>
      <color rgb="FF000000"/>
      <name val="Calibri"/>
      <family val="2"/>
      <charset val="204"/>
    </font>
    <font>
      <sz val="9"/>
      <color theme="9" tint="-0.249977111117893"/>
      <name val="Times New Roman"/>
      <family val="1"/>
      <charset val="204"/>
    </font>
    <font>
      <u/>
      <sz val="11"/>
      <color theme="10"/>
      <name val="Calibri"/>
      <family val="2"/>
      <charset val="204"/>
      <scheme val="minor"/>
    </font>
    <font>
      <sz val="11"/>
      <color theme="1"/>
      <name val="Calibri"/>
      <family val="2"/>
      <charset val="204"/>
      <scheme val="minor"/>
    </font>
    <font>
      <u/>
      <sz val="11"/>
      <color theme="10"/>
      <name val="Calibri"/>
      <family val="2"/>
      <charset val="204"/>
      <scheme val="minor"/>
    </font>
    <font>
      <sz val="11"/>
      <color theme="1"/>
      <name val="Times New Roman"/>
      <family val="1"/>
      <charset val="204"/>
    </font>
    <font>
      <sz val="9"/>
      <color rgb="FFFF0000"/>
      <name val="Times New Roman"/>
      <family val="1"/>
      <charset val="204"/>
    </font>
    <font>
      <sz val="11"/>
      <name val="Calibri"/>
      <family val="2"/>
      <charset val="204"/>
    </font>
    <font>
      <sz val="11"/>
      <color rgb="FF000000"/>
      <name val="Calibri"/>
      <family val="2"/>
      <charset val="204"/>
    </font>
    <font>
      <sz val="11"/>
      <color theme="1"/>
      <name val="Calibri"/>
      <family val="2"/>
      <charset val="204"/>
      <scheme val="minor"/>
    </font>
    <font>
      <u/>
      <sz val="11"/>
      <color theme="10"/>
      <name val="Calibri"/>
      <family val="2"/>
      <charset val="204"/>
      <scheme val="minor"/>
    </font>
    <font>
      <sz val="11"/>
      <color indexed="8"/>
      <name val="Calibri"/>
      <family val="2"/>
      <charset val="204"/>
    </font>
    <font>
      <sz val="9"/>
      <color indexed="8"/>
      <name val="Times New Roman"/>
      <family val="1"/>
      <charset val="204"/>
    </font>
    <font>
      <sz val="8"/>
      <color theme="1"/>
      <name val="Times New Roman"/>
      <family val="1"/>
      <charset val="204"/>
    </font>
    <font>
      <u/>
      <sz val="8.8000000000000007"/>
      <color theme="10"/>
      <name val="Calibri"/>
      <family val="2"/>
      <charset val="204"/>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11"/>
      <name val="Calibri"/>
      <family val="2"/>
      <charset val="204"/>
    </font>
    <font>
      <sz val="11"/>
      <color rgb="FF000000"/>
      <name val="Calibri"/>
      <family val="2"/>
      <charset val="204"/>
    </font>
    <font>
      <u/>
      <sz val="11"/>
      <color theme="10"/>
      <name val="Calibri"/>
      <family val="2"/>
      <charset val="204"/>
    </font>
    <font>
      <sz val="11"/>
      <color theme="1"/>
      <name val="Calibri"/>
      <family val="2"/>
      <charset val="204"/>
      <scheme val="minor"/>
    </font>
    <font>
      <u/>
      <sz val="11"/>
      <color theme="10"/>
      <name val="Calibri"/>
      <family val="2"/>
      <charset val="204"/>
      <scheme val="minor"/>
    </font>
    <font>
      <sz val="11"/>
      <color theme="1"/>
      <name val="Calibri"/>
      <family val="2"/>
      <charset val="204"/>
    </font>
    <font>
      <sz val="11"/>
      <color rgb="FF000000"/>
      <name val="Calibri"/>
      <family val="2"/>
      <charset val="204"/>
      <scheme val="minor"/>
    </font>
    <font>
      <sz val="11"/>
      <name val="Calibri"/>
      <family val="2"/>
      <charset val="204"/>
    </font>
    <font>
      <sz val="11"/>
      <color rgb="FF000000"/>
      <name val="Calibri"/>
      <family val="2"/>
      <charset val="204"/>
    </font>
    <font>
      <sz val="11"/>
      <color theme="1"/>
      <name val="Calibri"/>
      <family val="2"/>
      <charset val="204"/>
      <scheme val="minor"/>
    </font>
    <font>
      <u/>
      <sz val="11"/>
      <color theme="10"/>
      <name val="Calibri"/>
      <family val="2"/>
      <charset val="204"/>
      <scheme val="minor"/>
    </font>
    <font>
      <sz val="11"/>
      <name val="Calibri"/>
      <family val="2"/>
      <charset val="204"/>
      <scheme val="minor"/>
    </font>
  </fonts>
  <fills count="6">
    <fill>
      <patternFill patternType="none"/>
    </fill>
    <fill>
      <patternFill patternType="gray125"/>
    </fill>
    <fill>
      <patternFill patternType="solid">
        <fgColor rgb="FFC5E0B3"/>
        <bgColor indexed="64"/>
      </patternFill>
    </fill>
    <fill>
      <patternFill patternType="solid">
        <fgColor theme="0"/>
        <bgColor indexed="64"/>
      </patternFill>
    </fill>
    <fill>
      <patternFill patternType="solid">
        <fgColor rgb="FFFFFFFF"/>
        <bgColor rgb="FFFFFFFF"/>
      </patternFill>
    </fill>
    <fill>
      <patternFill patternType="solid">
        <fgColor theme="0"/>
        <bgColor theme="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8"/>
      </left>
      <right style="thin">
        <color indexed="8"/>
      </right>
      <top style="thin">
        <color indexed="8"/>
      </top>
      <bottom style="thin">
        <color indexed="8"/>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100">
    <xf numFmtId="0" fontId="0" fillId="0" borderId="0"/>
    <xf numFmtId="0" fontId="2" fillId="0" borderId="0"/>
    <xf numFmtId="0" fontId="5" fillId="0" borderId="0" applyNumberFormat="0" applyFill="0" applyBorder="0" applyAlignment="0" applyProtection="0"/>
    <xf numFmtId="0" fontId="1" fillId="0" borderId="0"/>
    <xf numFmtId="0" fontId="5" fillId="0" borderId="0" applyNumberFormat="0" applyFill="0" applyBorder="0" applyAlignment="0" applyProtection="0"/>
    <xf numFmtId="0" fontId="8" fillId="0" borderId="0" applyNumberFormat="0" applyFill="0" applyBorder="0" applyAlignment="0" applyProtection="0">
      <alignment vertical="top"/>
      <protection locked="0"/>
    </xf>
    <xf numFmtId="0" fontId="9" fillId="0" borderId="0">
      <alignment vertical="center"/>
    </xf>
    <xf numFmtId="0" fontId="11" fillId="0" borderId="0">
      <protection locked="0"/>
    </xf>
    <xf numFmtId="0" fontId="12" fillId="0" borderId="0"/>
    <xf numFmtId="0" fontId="13" fillId="0" borderId="0">
      <alignment vertical="center"/>
    </xf>
    <xf numFmtId="0" fontId="14" fillId="0" borderId="0">
      <protection locked="0"/>
    </xf>
    <xf numFmtId="0" fontId="17" fillId="0" borderId="0"/>
    <xf numFmtId="0" fontId="18" fillId="0" borderId="0" applyNumberFormat="0" applyFill="0" applyBorder="0" applyProtection="0"/>
    <xf numFmtId="0" fontId="17" fillId="0" borderId="0"/>
    <xf numFmtId="0" fontId="17" fillId="0" borderId="0"/>
    <xf numFmtId="0" fontId="16" fillId="0" borderId="0" applyNumberFormat="0" applyFill="0" applyBorder="0" applyProtection="0"/>
    <xf numFmtId="0" fontId="1" fillId="0" borderId="0"/>
    <xf numFmtId="0" fontId="1" fillId="0" borderId="0"/>
    <xf numFmtId="0" fontId="21" fillId="0" borderId="0">
      <alignment vertical="center"/>
    </xf>
    <xf numFmtId="0" fontId="22" fillId="0" borderId="0">
      <protection locked="0"/>
    </xf>
    <xf numFmtId="0" fontId="23" fillId="0" borderId="0"/>
    <xf numFmtId="0" fontId="24" fillId="0" borderId="0" applyNumberFormat="0" applyFill="0" applyBorder="0" applyProtection="0"/>
    <xf numFmtId="0" fontId="23" fillId="0" borderId="0"/>
    <xf numFmtId="0" fontId="23" fillId="0" borderId="0"/>
    <xf numFmtId="0" fontId="25" fillId="0" borderId="0" applyNumberFormat="0" applyFill="0" applyBorder="0" applyProtection="0">
      <alignment vertical="center"/>
    </xf>
    <xf numFmtId="0" fontId="9" fillId="0" borderId="0">
      <alignment vertical="center"/>
    </xf>
    <xf numFmtId="0" fontId="11" fillId="0" borderId="0">
      <protection locked="0"/>
    </xf>
    <xf numFmtId="0" fontId="1" fillId="0" borderId="0"/>
    <xf numFmtId="0" fontId="16" fillId="0" borderId="0" applyNumberFormat="0" applyFill="0" applyBorder="0" applyProtection="0"/>
    <xf numFmtId="0" fontId="1" fillId="0" borderId="0"/>
    <xf numFmtId="0" fontId="1" fillId="0" borderId="0"/>
    <xf numFmtId="0" fontId="28" fillId="0" borderId="0" applyNumberFormat="0" applyFill="0" applyBorder="0" applyAlignment="0" applyProtection="0">
      <alignment vertical="top"/>
      <protection locked="0"/>
    </xf>
    <xf numFmtId="0" fontId="1" fillId="0" borderId="0"/>
    <xf numFmtId="0" fontId="28" fillId="0" borderId="0" applyNumberFormat="0" applyFill="0" applyBorder="0" applyAlignment="0" applyProtection="0">
      <alignment vertical="top"/>
      <protection locked="0"/>
    </xf>
    <xf numFmtId="0" fontId="9" fillId="0" borderId="0">
      <alignment vertical="center"/>
    </xf>
    <xf numFmtId="0" fontId="11" fillId="0" borderId="0">
      <protection locked="0"/>
    </xf>
    <xf numFmtId="0" fontId="1" fillId="0" borderId="0"/>
    <xf numFmtId="0" fontId="16" fillId="0" borderId="0" applyNumberFormat="0" applyFill="0" applyBorder="0" applyProtection="0"/>
    <xf numFmtId="0" fontId="1" fillId="0" borderId="0"/>
    <xf numFmtId="0" fontId="1" fillId="0" borderId="0"/>
    <xf numFmtId="0" fontId="29" fillId="0" borderId="0"/>
    <xf numFmtId="0" fontId="32" fillId="0" borderId="0" applyNumberFormat="0" applyFill="0" applyBorder="0" applyAlignment="0" applyProtection="0"/>
    <xf numFmtId="0" fontId="30" fillId="0" borderId="0"/>
    <xf numFmtId="0" fontId="31" fillId="0" borderId="0" applyNumberFormat="0" applyFill="0" applyBorder="0" applyAlignment="0" applyProtection="0"/>
    <xf numFmtId="0" fontId="29" fillId="0" borderId="0"/>
    <xf numFmtId="0" fontId="33" fillId="0" borderId="0">
      <alignment vertical="center"/>
    </xf>
    <xf numFmtId="0" fontId="34" fillId="0" borderId="0">
      <protection locked="0"/>
    </xf>
    <xf numFmtId="0" fontId="35" fillId="0" borderId="0" applyNumberFormat="0" applyFill="0" applyBorder="0" applyAlignment="0" applyProtection="0">
      <alignment vertical="center"/>
    </xf>
    <xf numFmtId="0" fontId="36" fillId="0" borderId="0"/>
    <xf numFmtId="0" fontId="37" fillId="0" borderId="0" applyNumberFormat="0" applyFill="0" applyBorder="0" applyProtection="0"/>
    <xf numFmtId="0" fontId="36" fillId="0" borderId="0"/>
    <xf numFmtId="0" fontId="36" fillId="0" borderId="0"/>
    <xf numFmtId="0" fontId="35" fillId="0" borderId="0" applyNumberFormat="0" applyFill="0" applyBorder="0" applyAlignment="0" applyProtection="0"/>
    <xf numFmtId="0" fontId="38" fillId="0" borderId="0"/>
    <xf numFmtId="0" fontId="37" fillId="0" borderId="0" applyNumberFormat="0" applyFill="0" applyBorder="0" applyAlignment="0" applyProtection="0"/>
    <xf numFmtId="0" fontId="16" fillId="0" borderId="0" applyNumberFormat="0" applyFill="0" applyBorder="0" applyAlignment="0" applyProtection="0"/>
    <xf numFmtId="0" fontId="39" fillId="0" borderId="0"/>
    <xf numFmtId="0" fontId="8" fillId="0" borderId="0" applyNumberFormat="0" applyFill="0" applyBorder="0" applyAlignment="0" applyProtection="0">
      <alignment vertical="center"/>
    </xf>
    <xf numFmtId="0" fontId="40" fillId="0" borderId="0">
      <alignment vertical="center"/>
    </xf>
    <xf numFmtId="0" fontId="41" fillId="0" borderId="0">
      <protection locked="0"/>
    </xf>
    <xf numFmtId="0" fontId="42" fillId="0" borderId="0"/>
    <xf numFmtId="0" fontId="43" fillId="0" borderId="0" applyNumberFormat="0" applyFill="0" applyBorder="0" applyProtection="0"/>
    <xf numFmtId="0" fontId="42" fillId="0" borderId="0"/>
    <xf numFmtId="0" fontId="42" fillId="0" borderId="0"/>
    <xf numFmtId="0" fontId="1" fillId="0" borderId="0"/>
    <xf numFmtId="0" fontId="16" fillId="0" borderId="0" applyNumberFormat="0" applyFill="0" applyBorder="0" applyAlignment="0" applyProtection="0"/>
    <xf numFmtId="0" fontId="1" fillId="0" borderId="0"/>
    <xf numFmtId="0" fontId="16" fillId="0" borderId="0" applyNumberFormat="0" applyFill="0" applyBorder="0" applyAlignment="0" applyProtection="0"/>
    <xf numFmtId="0" fontId="1" fillId="0" borderId="0"/>
    <xf numFmtId="0" fontId="9" fillId="0" borderId="0">
      <alignment vertical="center"/>
    </xf>
    <xf numFmtId="0" fontId="11" fillId="0" borderId="0">
      <protection locked="0"/>
    </xf>
    <xf numFmtId="0" fontId="8" fillId="0" borderId="0" applyNumberFormat="0" applyFill="0" applyBorder="0" applyAlignment="0" applyProtection="0">
      <alignment vertical="center"/>
    </xf>
    <xf numFmtId="0" fontId="1" fillId="0" borderId="0"/>
    <xf numFmtId="0" fontId="16" fillId="0" borderId="0" applyNumberFormat="0" applyFill="0" applyBorder="0" applyProtection="0"/>
    <xf numFmtId="0" fontId="1" fillId="0" borderId="0"/>
    <xf numFmtId="0" fontId="1" fillId="0" borderId="0"/>
    <xf numFmtId="0" fontId="8" fillId="0" borderId="0" applyNumberFormat="0" applyFill="0" applyBorder="0" applyAlignment="0" applyProtection="0"/>
    <xf numFmtId="0" fontId="16" fillId="0" borderId="0" applyNumberFormat="0" applyFill="0" applyBorder="0" applyAlignment="0" applyProtection="0"/>
    <xf numFmtId="0" fontId="9" fillId="0" borderId="0">
      <alignment vertical="center"/>
    </xf>
    <xf numFmtId="0" fontId="11" fillId="0" borderId="0">
      <protection locked="0"/>
    </xf>
    <xf numFmtId="0" fontId="1" fillId="0" borderId="0"/>
    <xf numFmtId="0" fontId="16" fillId="0" borderId="0" applyNumberFormat="0" applyFill="0" applyBorder="0" applyAlignment="0" applyProtection="0"/>
    <xf numFmtId="0" fontId="1" fillId="0" borderId="0"/>
    <xf numFmtId="0" fontId="16" fillId="0" borderId="0" applyNumberFormat="0" applyFill="0" applyBorder="0" applyAlignment="0" applyProtection="0"/>
    <xf numFmtId="0" fontId="1" fillId="0" borderId="0"/>
    <xf numFmtId="0" fontId="9" fillId="0" borderId="0">
      <alignment vertical="center"/>
    </xf>
    <xf numFmtId="0" fontId="11" fillId="0" borderId="0">
      <protection locked="0"/>
    </xf>
    <xf numFmtId="0" fontId="8" fillId="0" borderId="0" applyNumberFormat="0" applyFill="0" applyBorder="0" applyAlignment="0" applyProtection="0">
      <alignment vertical="center"/>
    </xf>
    <xf numFmtId="0" fontId="1" fillId="0" borderId="0"/>
    <xf numFmtId="0" fontId="16" fillId="0" borderId="0" applyNumberFormat="0" applyFill="0" applyBorder="0" applyProtection="0"/>
    <xf numFmtId="0" fontId="1" fillId="0" borderId="0"/>
    <xf numFmtId="0" fontId="1" fillId="0" borderId="0"/>
    <xf numFmtId="0" fontId="8" fillId="0" borderId="0" applyNumberFormat="0" applyFill="0" applyBorder="0" applyAlignment="0" applyProtection="0"/>
    <xf numFmtId="0" fontId="16" fillId="0" borderId="0" applyNumberFormat="0" applyFill="0" applyBorder="0" applyAlignment="0" applyProtection="0"/>
    <xf numFmtId="0" fontId="9" fillId="0" borderId="0">
      <alignment vertical="center"/>
    </xf>
    <xf numFmtId="0" fontId="11" fillId="0" borderId="0">
      <protection locked="0"/>
    </xf>
    <xf numFmtId="0" fontId="1" fillId="0" borderId="0"/>
    <xf numFmtId="0" fontId="16" fillId="0" borderId="0" applyNumberFormat="0" applyFill="0" applyBorder="0" applyProtection="0"/>
    <xf numFmtId="0" fontId="1" fillId="0" borderId="0"/>
    <xf numFmtId="0" fontId="1" fillId="0" borderId="0"/>
  </cellStyleXfs>
  <cellXfs count="188">
    <xf numFmtId="0" fontId="0" fillId="0" borderId="0" xfId="0"/>
    <xf numFmtId="0" fontId="0" fillId="0" borderId="1" xfId="0" applyBorder="1"/>
    <xf numFmtId="0" fontId="4" fillId="0" borderId="1" xfId="0" applyFont="1" applyBorder="1" applyAlignment="1">
      <alignment horizontal="justify" vertical="top" wrapText="1"/>
    </xf>
    <xf numFmtId="0" fontId="6" fillId="0" borderId="0" xfId="0" applyFont="1"/>
    <xf numFmtId="14" fontId="4" fillId="0" borderId="2" xfId="0" applyNumberFormat="1" applyFont="1" applyBorder="1" applyAlignment="1">
      <alignment horizontal="justify" vertical="top" wrapText="1"/>
    </xf>
    <xf numFmtId="0" fontId="3" fillId="2" borderId="1" xfId="1" applyFont="1" applyFill="1" applyBorder="1" applyAlignment="1">
      <alignment horizontal="justify" vertical="center" wrapText="1"/>
    </xf>
    <xf numFmtId="0" fontId="0" fillId="0" borderId="0" xfId="0" applyBorder="1"/>
    <xf numFmtId="0" fontId="1"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4" fontId="4" fillId="0" borderId="2" xfId="0" applyNumberFormat="1" applyFont="1" applyFill="1" applyBorder="1" applyAlignment="1">
      <alignment horizontal="justify" vertical="top" wrapText="1"/>
    </xf>
    <xf numFmtId="0" fontId="4" fillId="0" borderId="1" xfId="0" applyFont="1" applyFill="1" applyBorder="1" applyAlignment="1">
      <alignment horizontal="justify" vertical="top" wrapText="1"/>
    </xf>
    <xf numFmtId="0" fontId="0" fillId="0" borderId="0" xfId="0" applyFill="1"/>
    <xf numFmtId="0" fontId="0" fillId="0" borderId="0" xfId="0"/>
    <xf numFmtId="0" fontId="0" fillId="0" borderId="0" xfId="0"/>
    <xf numFmtId="0" fontId="4" fillId="0" borderId="3" xfId="0" applyFont="1" applyFill="1" applyBorder="1" applyAlignment="1">
      <alignment horizontal="justify" vertical="top" wrapText="1"/>
    </xf>
    <xf numFmtId="0" fontId="4" fillId="0" borderId="3" xfId="0" applyFont="1" applyBorder="1" applyAlignment="1">
      <alignment horizontal="justify" vertical="top" wrapText="1"/>
    </xf>
    <xf numFmtId="0" fontId="4" fillId="3" borderId="3" xfId="0" applyFont="1" applyFill="1" applyBorder="1" applyAlignment="1">
      <alignment horizontal="justify" vertical="top" wrapText="1"/>
    </xf>
    <xf numFmtId="0" fontId="0" fillId="0" borderId="0" xfId="0"/>
    <xf numFmtId="0" fontId="0" fillId="0" borderId="0" xfId="0"/>
    <xf numFmtId="0" fontId="0" fillId="0" borderId="0" xfId="0"/>
    <xf numFmtId="0" fontId="4" fillId="0" borderId="4" xfId="0" applyFont="1" applyFill="1" applyBorder="1" applyAlignment="1">
      <alignment horizontal="justify" vertical="top" wrapText="1"/>
    </xf>
    <xf numFmtId="0" fontId="0" fillId="0" borderId="0" xfId="0"/>
    <xf numFmtId="0" fontId="0" fillId="0" borderId="0" xfId="0"/>
    <xf numFmtId="0" fontId="0" fillId="3" borderId="0" xfId="0" applyFill="1"/>
    <xf numFmtId="164" fontId="10" fillId="3" borderId="2" xfId="6" applyNumberFormat="1" applyFont="1" applyFill="1" applyBorder="1" applyAlignment="1">
      <alignment horizontal="justify" vertical="top" wrapText="1"/>
    </xf>
    <xf numFmtId="0" fontId="10" fillId="3" borderId="1" xfId="6" applyFont="1" applyFill="1" applyBorder="1" applyAlignment="1">
      <alignment horizontal="justify" vertical="top" wrapText="1"/>
    </xf>
    <xf numFmtId="0" fontId="4" fillId="0" borderId="1" xfId="0" applyFont="1" applyBorder="1" applyAlignment="1">
      <alignment horizontal="justify" vertical="top"/>
    </xf>
    <xf numFmtId="0" fontId="0" fillId="0" borderId="0" xfId="0" applyAlignment="1">
      <alignment horizontal="left" vertical="top"/>
    </xf>
    <xf numFmtId="0" fontId="6" fillId="0" borderId="0" xfId="0" applyNumberFormat="1" applyFont="1"/>
    <xf numFmtId="0" fontId="4" fillId="0" borderId="6" xfId="0" applyNumberFormat="1" applyFont="1" applyBorder="1" applyAlignment="1">
      <alignment horizontal="justify" vertical="top" wrapText="1"/>
    </xf>
    <xf numFmtId="0" fontId="4" fillId="0" borderId="1" xfId="0" applyNumberFormat="1" applyFont="1" applyBorder="1" applyAlignment="1">
      <alignment horizontal="justify" vertical="top" wrapText="1"/>
    </xf>
    <xf numFmtId="0" fontId="0" fillId="0" borderId="0" xfId="0"/>
    <xf numFmtId="0" fontId="15" fillId="0" borderId="1" xfId="0"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0" fontId="4" fillId="0" borderId="8" xfId="0" applyFont="1" applyBorder="1" applyAlignment="1">
      <alignment horizontal="justify" vertical="top" wrapText="1"/>
    </xf>
    <xf numFmtId="14" fontId="4" fillId="0" borderId="9" xfId="0" applyNumberFormat="1" applyFont="1" applyBorder="1" applyAlignment="1">
      <alignment horizontal="justify" vertical="top" wrapText="1"/>
    </xf>
    <xf numFmtId="0" fontId="0" fillId="0" borderId="1" xfId="0" applyBorder="1" applyAlignment="1">
      <alignment horizontal="center" wrapText="1"/>
    </xf>
    <xf numFmtId="0" fontId="0" fillId="0" borderId="0" xfId="0" applyAlignment="1">
      <alignment horizontal="center" wrapText="1"/>
    </xf>
    <xf numFmtId="0" fontId="19" fillId="0" borderId="1" xfId="0" applyFont="1" applyBorder="1" applyAlignment="1">
      <alignment horizontal="center" vertical="top" wrapText="1"/>
    </xf>
    <xf numFmtId="0" fontId="4" fillId="0" borderId="1" xfId="1" applyFont="1" applyBorder="1" applyAlignment="1">
      <alignment horizontal="justify" vertical="top" wrapText="1"/>
    </xf>
    <xf numFmtId="0" fontId="7" fillId="0" borderId="1" xfId="1" applyFont="1" applyBorder="1" applyAlignment="1">
      <alignment horizontal="justify" vertical="top" wrapText="1"/>
    </xf>
    <xf numFmtId="0" fontId="0" fillId="0" borderId="0" xfId="0" applyBorder="1" applyAlignment="1">
      <alignment horizontal="center" wrapText="1"/>
    </xf>
    <xf numFmtId="0" fontId="19" fillId="0" borderId="0" xfId="0" applyFont="1" applyBorder="1" applyAlignment="1">
      <alignment horizontal="center" vertical="top" wrapText="1"/>
    </xf>
    <xf numFmtId="0" fontId="4" fillId="0" borderId="7" xfId="14" applyFont="1" applyBorder="1" applyAlignment="1">
      <alignment horizontal="justify" vertical="top" wrapText="1"/>
    </xf>
    <xf numFmtId="0" fontId="4" fillId="0" borderId="1" xfId="14" applyFont="1" applyBorder="1" applyAlignment="1">
      <alignment horizontal="justify" vertical="top" wrapText="1"/>
    </xf>
    <xf numFmtId="0" fontId="4" fillId="0" borderId="8" xfId="1" applyFont="1" applyBorder="1" applyAlignment="1">
      <alignment horizontal="justify" vertical="top" wrapText="1"/>
    </xf>
    <xf numFmtId="14" fontId="4" fillId="0" borderId="7" xfId="0" applyNumberFormat="1" applyFont="1" applyBorder="1" applyAlignment="1">
      <alignment horizontal="justify" vertical="top" wrapText="1"/>
    </xf>
    <xf numFmtId="0" fontId="4" fillId="0" borderId="7" xfId="0" applyNumberFormat="1" applyFont="1" applyBorder="1" applyAlignment="1">
      <alignment horizontal="justify" vertical="top" wrapText="1"/>
    </xf>
    <xf numFmtId="0" fontId="4" fillId="0" borderId="10" xfId="0" applyNumberFormat="1" applyFont="1" applyBorder="1" applyAlignment="1">
      <alignment horizontal="justify" vertical="top" wrapText="1"/>
    </xf>
    <xf numFmtId="0" fontId="4" fillId="0" borderId="0" xfId="0" applyNumberFormat="1" applyFont="1" applyBorder="1" applyAlignment="1">
      <alignment horizontal="justify" vertical="top" wrapText="1"/>
    </xf>
    <xf numFmtId="0" fontId="0" fillId="0" borderId="0" xfId="0"/>
    <xf numFmtId="0" fontId="0" fillId="0" borderId="0" xfId="0"/>
    <xf numFmtId="49" fontId="26" fillId="3" borderId="11" xfId="24" applyNumberFormat="1" applyFont="1" applyFill="1" applyBorder="1" applyAlignment="1">
      <alignment horizontal="justify" vertical="top" wrapText="1"/>
    </xf>
    <xf numFmtId="165" fontId="26" fillId="3" borderId="11" xfId="24" applyNumberFormat="1" applyFont="1" applyFill="1" applyBorder="1" applyAlignment="1">
      <alignment horizontal="justify" vertical="top" wrapText="1"/>
    </xf>
    <xf numFmtId="0" fontId="26" fillId="3" borderId="11" xfId="24" applyNumberFormat="1" applyFont="1" applyFill="1" applyBorder="1" applyAlignment="1">
      <alignment horizontal="justify" vertical="top" wrapText="1"/>
    </xf>
    <xf numFmtId="0" fontId="0" fillId="0" borderId="0" xfId="0" applyFont="1"/>
    <xf numFmtId="0" fontId="0" fillId="0" borderId="0" xfId="0"/>
    <xf numFmtId="0" fontId="7" fillId="0" borderId="1" xfId="0" applyFont="1" applyBorder="1" applyAlignment="1">
      <alignment horizontal="justify" vertical="top" wrapText="1"/>
    </xf>
    <xf numFmtId="0" fontId="27" fillId="0" borderId="1" xfId="0" applyFont="1" applyBorder="1" applyAlignment="1">
      <alignment horizontal="left" vertical="top"/>
    </xf>
    <xf numFmtId="0" fontId="27" fillId="0" borderId="1" xfId="0" applyFont="1" applyBorder="1" applyAlignment="1">
      <alignment horizontal="left" vertical="top" wrapText="1"/>
    </xf>
    <xf numFmtId="0" fontId="27" fillId="3" borderId="1" xfId="0" applyFont="1" applyFill="1" applyBorder="1" applyAlignment="1">
      <alignment horizontal="left" vertical="top" wrapText="1"/>
    </xf>
    <xf numFmtId="0" fontId="0" fillId="0" borderId="0" xfId="0"/>
    <xf numFmtId="0" fontId="0" fillId="0" borderId="0" xfId="0"/>
    <xf numFmtId="0" fontId="4" fillId="0" borderId="7" xfId="0" applyFont="1" applyBorder="1" applyAlignment="1">
      <alignment horizontal="justify" vertical="top" wrapText="1"/>
    </xf>
    <xf numFmtId="0" fontId="0" fillId="0" borderId="0" xfId="0"/>
    <xf numFmtId="0" fontId="20" fillId="0" borderId="1" xfId="0" applyFont="1" applyBorder="1" applyAlignment="1">
      <alignment horizontal="justify" vertical="top" wrapText="1"/>
    </xf>
    <xf numFmtId="0" fontId="0" fillId="0" borderId="0" xfId="0"/>
    <xf numFmtId="0" fontId="0" fillId="0" borderId="0" xfId="0"/>
    <xf numFmtId="0" fontId="0" fillId="0" borderId="0" xfId="0"/>
    <xf numFmtId="0" fontId="0" fillId="0" borderId="0" xfId="0"/>
    <xf numFmtId="14" fontId="4" fillId="3" borderId="1" xfId="0" applyNumberFormat="1" applyFont="1" applyFill="1" applyBorder="1" applyAlignment="1">
      <alignment horizontal="justify" vertical="top" wrapText="1"/>
    </xf>
    <xf numFmtId="0" fontId="0" fillId="0" borderId="0" xfId="0"/>
    <xf numFmtId="0" fontId="0" fillId="0" borderId="0" xfId="0"/>
    <xf numFmtId="14" fontId="7" fillId="0" borderId="2" xfId="0" applyNumberFormat="1" applyFont="1" applyBorder="1" applyAlignment="1">
      <alignment horizontal="justify" vertical="top" wrapText="1"/>
    </xf>
    <xf numFmtId="0" fontId="0" fillId="0" borderId="0" xfId="0"/>
    <xf numFmtId="0" fontId="0" fillId="0" borderId="0" xfId="0"/>
    <xf numFmtId="0" fontId="0" fillId="0" borderId="0" xfId="0"/>
    <xf numFmtId="0" fontId="0" fillId="0" borderId="0" xfId="0"/>
    <xf numFmtId="0" fontId="4" fillId="0" borderId="0" xfId="0" applyFont="1" applyBorder="1" applyAlignment="1">
      <alignment horizontal="justify" vertical="top" wrapText="1"/>
    </xf>
    <xf numFmtId="0" fontId="0" fillId="0" borderId="0" xfId="0"/>
    <xf numFmtId="14" fontId="4" fillId="0" borderId="1" xfId="0" applyNumberFormat="1" applyFont="1" applyBorder="1" applyAlignment="1">
      <alignment horizontal="justify" vertical="top" wrapText="1"/>
    </xf>
    <xf numFmtId="0" fontId="0" fillId="0" borderId="0" xfId="0"/>
    <xf numFmtId="0" fontId="0" fillId="0" borderId="0" xfId="0"/>
    <xf numFmtId="0" fontId="4" fillId="0" borderId="1" xfId="53" applyNumberFormat="1" applyFont="1" applyBorder="1" applyAlignment="1">
      <alignment horizontal="justify" vertical="top" wrapText="1"/>
    </xf>
    <xf numFmtId="0" fontId="4" fillId="0" borderId="1" xfId="53" applyNumberFormat="1" applyFont="1" applyBorder="1" applyAlignment="1">
      <alignment horizontal="justify" vertical="top"/>
    </xf>
    <xf numFmtId="14" fontId="4" fillId="0" borderId="1" xfId="53" applyNumberFormat="1" applyFont="1" applyBorder="1" applyAlignment="1">
      <alignment horizontal="justify" vertical="top" wrapText="1"/>
    </xf>
    <xf numFmtId="14" fontId="4" fillId="0" borderId="2" xfId="53" applyNumberFormat="1" applyFont="1" applyBorder="1" applyAlignment="1">
      <alignment horizontal="justify" vertical="top" wrapText="1"/>
    </xf>
    <xf numFmtId="0" fontId="0" fillId="0" borderId="0" xfId="0"/>
    <xf numFmtId="0" fontId="0" fillId="0" borderId="0" xfId="0"/>
    <xf numFmtId="14" fontId="20" fillId="0" borderId="2" xfId="0" applyNumberFormat="1" applyFont="1" applyBorder="1" applyAlignment="1">
      <alignment horizontal="justify" vertical="top"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4" fontId="15" fillId="0" borderId="2" xfId="0" applyNumberFormat="1" applyFont="1" applyBorder="1" applyAlignment="1">
      <alignment horizontal="justify" vertical="top"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5" fillId="3" borderId="1" xfId="0" applyFont="1" applyFill="1" applyBorder="1" applyAlignment="1">
      <alignment horizontal="justify" vertical="top" wrapText="1"/>
    </xf>
    <xf numFmtId="0" fontId="27" fillId="3" borderId="13" xfId="0" applyFont="1" applyFill="1" applyBorder="1" applyAlignment="1">
      <alignment horizontal="left" vertical="top" wrapText="1"/>
    </xf>
    <xf numFmtId="0" fontId="27" fillId="3" borderId="0" xfId="0" applyFont="1" applyFill="1" applyBorder="1" applyAlignment="1">
      <alignment horizontal="left" vertical="top" wrapText="1"/>
    </xf>
    <xf numFmtId="0" fontId="27" fillId="0" borderId="0" xfId="0" applyFont="1" applyBorder="1" applyAlignment="1">
      <alignment horizontal="left" vertical="top"/>
    </xf>
    <xf numFmtId="0" fontId="27" fillId="0" borderId="0" xfId="0" applyFont="1" applyBorder="1" applyAlignment="1">
      <alignment horizontal="left" vertical="top" wrapText="1"/>
    </xf>
    <xf numFmtId="0" fontId="23" fillId="0" borderId="0" xfId="23"/>
    <xf numFmtId="0" fontId="0" fillId="0" borderId="0" xfId="0"/>
    <xf numFmtId="0" fontId="0" fillId="0" borderId="0" xfId="0"/>
    <xf numFmtId="0" fontId="7" fillId="3" borderId="3" xfId="0" applyFont="1" applyFill="1" applyBorder="1" applyAlignment="1">
      <alignment horizontal="justify" vertical="top" wrapText="1"/>
    </xf>
    <xf numFmtId="0" fontId="7" fillId="3" borderId="1" xfId="0" applyFont="1" applyFill="1" applyBorder="1" applyAlignment="1">
      <alignment horizontal="justify" vertical="top" wrapText="1"/>
    </xf>
    <xf numFmtId="0" fontId="0" fillId="0" borderId="0" xfId="0"/>
    <xf numFmtId="14" fontId="4" fillId="3" borderId="2" xfId="0" applyNumberFormat="1" applyFont="1" applyFill="1" applyBorder="1" applyAlignment="1">
      <alignment horizontal="justify" vertical="top" wrapText="1"/>
    </xf>
    <xf numFmtId="0" fontId="0" fillId="0" borderId="0" xfId="0"/>
    <xf numFmtId="0" fontId="0" fillId="3" borderId="0" xfId="0" applyFill="1"/>
    <xf numFmtId="0" fontId="0" fillId="0" borderId="0" xfId="0"/>
    <xf numFmtId="0" fontId="0" fillId="0" borderId="0" xfId="0"/>
    <xf numFmtId="0" fontId="0" fillId="0" borderId="0" xfId="0"/>
    <xf numFmtId="0" fontId="4" fillId="3" borderId="1" xfId="0" applyFont="1" applyFill="1" applyBorder="1" applyAlignment="1">
      <alignment horizontal="justify" vertical="top" wrapText="1"/>
    </xf>
    <xf numFmtId="0" fontId="0" fillId="0" borderId="0" xfId="0"/>
    <xf numFmtId="0" fontId="0" fillId="0" borderId="0" xfId="0"/>
    <xf numFmtId="0" fontId="7" fillId="0" borderId="3" xfId="0" applyFont="1" applyFill="1" applyBorder="1" applyAlignment="1">
      <alignment horizontal="justify" vertical="top" wrapText="1"/>
    </xf>
    <xf numFmtId="0" fontId="0" fillId="0" borderId="0" xfId="0"/>
    <xf numFmtId="14" fontId="4" fillId="0" borderId="2" xfId="0" applyNumberFormat="1" applyFont="1" applyBorder="1" applyAlignment="1">
      <alignment horizontal="justify" vertical="top" wrapText="1"/>
    </xf>
    <xf numFmtId="0" fontId="4" fillId="0" borderId="1" xfId="44" applyFont="1" applyBorder="1" applyAlignment="1">
      <alignment horizontal="justify" vertical="top" wrapText="1"/>
    </xf>
    <xf numFmtId="0" fontId="4" fillId="0" borderId="1" xfId="0" applyFont="1" applyBorder="1" applyAlignment="1">
      <alignment horizontal="justify" vertical="top" wrapText="1"/>
    </xf>
    <xf numFmtId="0" fontId="20" fillId="3" borderId="1" xfId="0" applyFont="1" applyFill="1" applyBorder="1" applyAlignment="1">
      <alignment horizontal="justify" vertical="top" wrapText="1"/>
    </xf>
    <xf numFmtId="0" fontId="23" fillId="3" borderId="0" xfId="23" applyFill="1"/>
    <xf numFmtId="0" fontId="7" fillId="3" borderId="3" xfId="6" applyFont="1" applyFill="1" applyBorder="1" applyAlignment="1">
      <alignment horizontal="justify" vertical="top" wrapText="1"/>
    </xf>
    <xf numFmtId="0" fontId="7" fillId="0" borderId="3" xfId="6" applyFont="1" applyFill="1" applyBorder="1" applyAlignment="1">
      <alignment horizontal="justify" vertical="top" wrapText="1"/>
    </xf>
    <xf numFmtId="0" fontId="7" fillId="0" borderId="12" xfId="40" applyFont="1" applyFill="1" applyBorder="1" applyAlignment="1">
      <alignment horizontal="justify" vertical="top" wrapText="1"/>
    </xf>
    <xf numFmtId="0" fontId="7" fillId="3" borderId="12" xfId="40" applyFont="1" applyFill="1" applyBorder="1" applyAlignment="1">
      <alignment horizontal="justify" vertical="top" wrapText="1"/>
    </xf>
    <xf numFmtId="14" fontId="4" fillId="0" borderId="2" xfId="44" applyNumberFormat="1" applyFont="1" applyBorder="1" applyAlignment="1">
      <alignment horizontal="justify" vertical="top" wrapText="1"/>
    </xf>
    <xf numFmtId="0" fontId="7" fillId="0" borderId="12" xfId="44" applyFont="1" applyFill="1" applyBorder="1" applyAlignment="1">
      <alignment horizontal="justify" vertical="top" wrapText="1"/>
    </xf>
    <xf numFmtId="0" fontId="7" fillId="0" borderId="3" xfId="53" applyNumberFormat="1" applyFont="1" applyBorder="1" applyAlignment="1">
      <alignment horizontal="justify" vertical="top" wrapText="1"/>
    </xf>
    <xf numFmtId="0" fontId="4" fillId="0" borderId="3" xfId="53" applyNumberFormat="1" applyFont="1" applyBorder="1" applyAlignment="1">
      <alignment horizontal="justify" vertical="top"/>
    </xf>
    <xf numFmtId="0" fontId="4" fillId="3" borderId="3" xfId="0" applyFont="1" applyFill="1" applyBorder="1" applyAlignment="1">
      <alignment horizontal="justify" vertical="top"/>
    </xf>
    <xf numFmtId="0" fontId="4" fillId="3" borderId="1" xfId="0" applyFont="1" applyFill="1" applyBorder="1" applyAlignment="1">
      <alignment horizontal="justify" vertical="top"/>
    </xf>
    <xf numFmtId="0" fontId="10" fillId="3" borderId="3" xfId="6" applyFont="1" applyFill="1" applyBorder="1" applyAlignment="1">
      <alignment horizontal="justify" vertical="top"/>
    </xf>
    <xf numFmtId="0" fontId="10" fillId="3" borderId="1" xfId="6" applyFont="1" applyFill="1" applyBorder="1" applyAlignment="1">
      <alignment horizontal="justify" vertical="top"/>
    </xf>
    <xf numFmtId="0" fontId="4" fillId="0" borderId="3" xfId="0" applyFont="1" applyBorder="1" applyAlignment="1">
      <alignment horizontal="justify" vertical="top"/>
    </xf>
    <xf numFmtId="0" fontId="10" fillId="0" borderId="3" xfId="6" applyFont="1" applyFill="1" applyBorder="1" applyAlignment="1">
      <alignment horizontal="justify" vertical="top"/>
    </xf>
    <xf numFmtId="0" fontId="10" fillId="0" borderId="1" xfId="6" applyFont="1" applyFill="1" applyBorder="1" applyAlignment="1">
      <alignment horizontal="justify" vertical="top"/>
    </xf>
    <xf numFmtId="0" fontId="4" fillId="0" borderId="0" xfId="0" applyNumberFormat="1" applyFont="1" applyAlignment="1">
      <alignment horizontal="justify" vertical="top" wrapText="1"/>
    </xf>
    <xf numFmtId="0" fontId="7" fillId="0" borderId="1" xfId="0" applyFont="1" applyBorder="1" applyAlignment="1">
      <alignment horizontal="justify" vertical="top"/>
    </xf>
    <xf numFmtId="0" fontId="7" fillId="0" borderId="3" xfId="0" applyFont="1" applyBorder="1" applyAlignment="1">
      <alignment horizontal="justify" vertical="top"/>
    </xf>
    <xf numFmtId="0" fontId="4" fillId="5" borderId="1" xfId="0" applyFont="1" applyFill="1" applyBorder="1" applyAlignment="1">
      <alignment horizontal="justify" vertical="top" wrapText="1"/>
    </xf>
    <xf numFmtId="0" fontId="10" fillId="4" borderId="1" xfId="0" applyFont="1" applyFill="1" applyBorder="1" applyAlignment="1">
      <alignment horizontal="justify" vertical="top" wrapText="1"/>
    </xf>
    <xf numFmtId="0" fontId="4" fillId="0" borderId="12" xfId="40" applyFont="1" applyBorder="1" applyAlignment="1">
      <alignment horizontal="justify" vertical="top"/>
    </xf>
    <xf numFmtId="0" fontId="4" fillId="0" borderId="1" xfId="40" applyFont="1" applyBorder="1" applyAlignment="1">
      <alignment horizontal="justify" vertical="top"/>
    </xf>
    <xf numFmtId="0" fontId="4" fillId="0" borderId="1" xfId="22" applyFont="1" applyBorder="1" applyAlignment="1">
      <alignment horizontal="justify" vertical="top" wrapText="1"/>
    </xf>
    <xf numFmtId="0" fontId="4" fillId="3" borderId="12" xfId="40" applyFont="1" applyFill="1" applyBorder="1" applyAlignment="1">
      <alignment horizontal="justify" vertical="top"/>
    </xf>
    <xf numFmtId="0" fontId="4" fillId="3" borderId="1" xfId="40" applyFont="1" applyFill="1" applyBorder="1" applyAlignment="1">
      <alignment horizontal="justify" vertical="top"/>
    </xf>
    <xf numFmtId="14" fontId="7" fillId="0" borderId="1" xfId="0" applyNumberFormat="1" applyFont="1" applyBorder="1" applyAlignment="1">
      <alignment horizontal="justify" vertical="top" wrapText="1"/>
    </xf>
    <xf numFmtId="0" fontId="4" fillId="0" borderId="5" xfId="0" applyFont="1" applyBorder="1" applyAlignment="1">
      <alignment horizontal="justify" vertical="top"/>
    </xf>
    <xf numFmtId="0" fontId="4" fillId="0" borderId="5" xfId="0" applyFont="1" applyBorder="1" applyAlignment="1">
      <alignment horizontal="justify" vertical="top" wrapText="1"/>
    </xf>
    <xf numFmtId="14" fontId="4" fillId="0" borderId="5" xfId="0" applyNumberFormat="1" applyFont="1" applyBorder="1" applyAlignment="1">
      <alignment horizontal="justify" vertical="top"/>
    </xf>
    <xf numFmtId="0" fontId="4" fillId="5" borderId="5" xfId="0" applyFont="1" applyFill="1" applyBorder="1" applyAlignment="1">
      <alignment horizontal="justify" vertical="top" wrapText="1"/>
    </xf>
    <xf numFmtId="0" fontId="4" fillId="0" borderId="12" xfId="44" applyFont="1" applyBorder="1" applyAlignment="1">
      <alignment horizontal="justify" vertical="top"/>
    </xf>
    <xf numFmtId="0" fontId="4" fillId="0" borderId="1" xfId="44" applyFont="1" applyBorder="1" applyAlignment="1">
      <alignment horizontal="justify" vertical="top"/>
    </xf>
    <xf numFmtId="0" fontId="10" fillId="0" borderId="0" xfId="56" applyFont="1" applyAlignment="1">
      <alignment horizontal="justify" vertical="top" wrapText="1"/>
    </xf>
    <xf numFmtId="0" fontId="44" fillId="0" borderId="0" xfId="0" applyFont="1"/>
    <xf numFmtId="0" fontId="7" fillId="0" borderId="0" xfId="56" applyFont="1" applyAlignment="1">
      <alignment horizontal="justify" vertical="top" wrapText="1"/>
    </xf>
    <xf numFmtId="0" fontId="4" fillId="3" borderId="1" xfId="0" applyFont="1" applyFill="1" applyBorder="1" applyAlignment="1">
      <alignment horizontal="justify" vertical="top" wrapText="1"/>
    </xf>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cellXfs>
  <cellStyles count="100">
    <cellStyle name="Hyperlink" xfId="2"/>
    <cellStyle name="Hyperlink 2" xfId="12"/>
    <cellStyle name="Hyperlink 2 2" xfId="21"/>
    <cellStyle name="Hyperlink 2 2 2" xfId="37"/>
    <cellStyle name="Hyperlink 2 3" xfId="28"/>
    <cellStyle name="Hyperlink 2 4" xfId="61"/>
    <cellStyle name="Hyperlink 2 4 2" xfId="97"/>
    <cellStyle name="Hyperlink 3" xfId="15"/>
    <cellStyle name="Hyperlink 4" xfId="41"/>
    <cellStyle name="Hyperlink 4 2" xfId="81"/>
    <cellStyle name="Hyperlink 4 3" xfId="65"/>
    <cellStyle name="Hyperlink 5" xfId="49"/>
    <cellStyle name="Hyperlink 5 2" xfId="89"/>
    <cellStyle name="Hyperlink 5 3" xfId="73"/>
    <cellStyle name="Hyperlink 6" xfId="54"/>
    <cellStyle name="Hyperlink 6 2" xfId="93"/>
    <cellStyle name="Hyperlink 6 3" xfId="77"/>
    <cellStyle name="Hyperlink 7" xfId="55"/>
    <cellStyle name="Гиперссылка 2" xfId="4"/>
    <cellStyle name="Гиперссылка 2 2" xfId="33"/>
    <cellStyle name="Гиперссылка 3" xfId="5"/>
    <cellStyle name="Гиперссылка 4" xfId="31"/>
    <cellStyle name="Гиперссылка 5" xfId="43"/>
    <cellStyle name="Гиперссылка 5 2" xfId="83"/>
    <cellStyle name="Гиперссылка 5 3" xfId="67"/>
    <cellStyle name="Гиперссылка 6" xfId="47"/>
    <cellStyle name="Гиперссылка 6 2" xfId="87"/>
    <cellStyle name="Гиперссылка 6 3" xfId="71"/>
    <cellStyle name="Гиперссылка 7" xfId="52"/>
    <cellStyle name="Гиперссылка 7 2" xfId="92"/>
    <cellStyle name="Гиперссылка 7 3" xfId="76"/>
    <cellStyle name="Гиперссылка 8" xfId="57"/>
    <cellStyle name="Обычный" xfId="0" builtinId="0"/>
    <cellStyle name="Обычный 10" xfId="45"/>
    <cellStyle name="Обычный 10 2" xfId="85"/>
    <cellStyle name="Обычный 10 3" xfId="69"/>
    <cellStyle name="Обычный 11" xfId="48"/>
    <cellStyle name="Обычный 11 2" xfId="88"/>
    <cellStyle name="Обычный 11 3" xfId="72"/>
    <cellStyle name="Обычный 12" xfId="53"/>
    <cellStyle name="Обычный 13" xfId="56"/>
    <cellStyle name="Обычный 14" xfId="78"/>
    <cellStyle name="Обычный 2" xfId="3"/>
    <cellStyle name="Обычный 2 2" xfId="13"/>
    <cellStyle name="Обычный 2 2 2" xfId="22"/>
    <cellStyle name="Обычный 2 2 2 2" xfId="38"/>
    <cellStyle name="Обычный 2 2 3" xfId="29"/>
    <cellStyle name="Обычный 2 2 4" xfId="62"/>
    <cellStyle name="Обычный 2 2 4 2" xfId="98"/>
    <cellStyle name="Обычный 2 3" xfId="44"/>
    <cellStyle name="Обычный 2 3 2" xfId="84"/>
    <cellStyle name="Обычный 2 3 3" xfId="68"/>
    <cellStyle name="Обычный 2 4" xfId="50"/>
    <cellStyle name="Обычный 2 4 2" xfId="90"/>
    <cellStyle name="Обычный 2 4 3" xfId="74"/>
    <cellStyle name="Обычный 3" xfId="1"/>
    <cellStyle name="Обычный 3 2" xfId="7"/>
    <cellStyle name="Обычный 3 3" xfId="10"/>
    <cellStyle name="Обычный 3 3 2" xfId="19"/>
    <cellStyle name="Обычный 3 3 2 2" xfId="35"/>
    <cellStyle name="Обычный 3 3 3" xfId="26"/>
    <cellStyle name="Обычный 3 3 4" xfId="59"/>
    <cellStyle name="Обычный 3 3 4 2" xfId="95"/>
    <cellStyle name="Обычный 3 4" xfId="11"/>
    <cellStyle name="Обычный 3 4 2" xfId="20"/>
    <cellStyle name="Обычный 3 4 2 2" xfId="36"/>
    <cellStyle name="Обычный 3 4 3" xfId="27"/>
    <cellStyle name="Обычный 3 4 4" xfId="60"/>
    <cellStyle name="Обычный 3 4 4 2" xfId="96"/>
    <cellStyle name="Обычный 3 5" xfId="16"/>
    <cellStyle name="Обычный 3 6" xfId="42"/>
    <cellStyle name="Обычный 3 6 2" xfId="82"/>
    <cellStyle name="Обычный 3 6 3" xfId="66"/>
    <cellStyle name="Обычный 3 7" xfId="46"/>
    <cellStyle name="Обычный 3 7 2" xfId="86"/>
    <cellStyle name="Обычный 3 7 3" xfId="70"/>
    <cellStyle name="Обычный 3 8" xfId="51"/>
    <cellStyle name="Обычный 3 8 2" xfId="91"/>
    <cellStyle name="Обычный 3 8 3" xfId="75"/>
    <cellStyle name="Обычный 3 9" xfId="79"/>
    <cellStyle name="Обычный 4" xfId="6"/>
    <cellStyle name="Обычный 4 2" xfId="32"/>
    <cellStyle name="Обычный 5" xfId="8"/>
    <cellStyle name="Обычный 5 2" xfId="17"/>
    <cellStyle name="Обычный 6" xfId="9"/>
    <cellStyle name="Обычный 6 2" xfId="18"/>
    <cellStyle name="Обычный 6 2 2" xfId="34"/>
    <cellStyle name="Обычный 6 3" xfId="25"/>
    <cellStyle name="Обычный 6 4" xfId="58"/>
    <cellStyle name="Обычный 6 4 2" xfId="94"/>
    <cellStyle name="Обычный 7" xfId="14"/>
    <cellStyle name="Обычный 7 2" xfId="23"/>
    <cellStyle name="Обычный 7 2 2" xfId="39"/>
    <cellStyle name="Обычный 7 3" xfId="30"/>
    <cellStyle name="Обычный 7 4" xfId="63"/>
    <cellStyle name="Обычный 7 4 2" xfId="99"/>
    <cellStyle name="Обычный 8" xfId="24"/>
    <cellStyle name="Обычный 9" xfId="40"/>
    <cellStyle name="Обычный 9 2" xfId="80"/>
    <cellStyle name="Обычный 9 3" xfId="64"/>
  </cellStyles>
  <dxfs count="0"/>
  <tableStyles count="0" defaultTableStyle="TableStyleMedium2" defaultPivotStyle="PivotStyleLight16"/>
  <colors>
    <mruColors>
      <color rgb="FFD5D0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E521"/>
  <sheetViews>
    <sheetView tabSelected="1" topLeftCell="F1" zoomScale="112" zoomScaleNormal="112" workbookViewId="0">
      <pane ySplit="1" topLeftCell="A176" activePane="bottomLeft" state="frozen"/>
      <selection pane="bottomLeft" activeCell="M178" sqref="M178"/>
    </sheetView>
  </sheetViews>
  <sheetFormatPr defaultRowHeight="14.4" x14ac:dyDescent="0.3"/>
  <cols>
    <col min="1" max="1" width="4.88671875" customWidth="1"/>
    <col min="2" max="2" width="33.88671875" bestFit="1" customWidth="1"/>
    <col min="3" max="3" width="20.88671875" bestFit="1" customWidth="1"/>
    <col min="4" max="4" width="20.44140625" customWidth="1"/>
    <col min="5" max="5" width="16" customWidth="1"/>
    <col min="6" max="6" width="18.109375" customWidth="1"/>
    <col min="7" max="7" width="17.5546875" style="6" customWidth="1"/>
    <col min="8" max="8" width="11.33203125" style="6" customWidth="1"/>
    <col min="9" max="10" width="8.6640625" customWidth="1"/>
    <col min="11" max="11" width="12.44140625" customWidth="1"/>
    <col min="12" max="12" width="8.6640625" customWidth="1"/>
    <col min="13" max="13" width="17.44140625" customWidth="1"/>
    <col min="14" max="14" width="18.109375" customWidth="1"/>
    <col min="15" max="15" width="47" customWidth="1"/>
  </cols>
  <sheetData>
    <row r="1" spans="1:15" s="7" customFormat="1" ht="121.5" customHeight="1" x14ac:dyDescent="0.3">
      <c r="A1" s="5" t="s">
        <v>840</v>
      </c>
      <c r="B1" s="5" t="s">
        <v>844</v>
      </c>
      <c r="C1" s="5" t="s">
        <v>841</v>
      </c>
      <c r="D1" s="5" t="s">
        <v>843</v>
      </c>
      <c r="E1" s="5" t="s">
        <v>854</v>
      </c>
      <c r="F1" s="5" t="s">
        <v>842</v>
      </c>
      <c r="G1" s="5" t="s">
        <v>845</v>
      </c>
      <c r="H1" s="5" t="s">
        <v>849</v>
      </c>
      <c r="I1" s="5" t="s">
        <v>850</v>
      </c>
      <c r="J1" s="5" t="s">
        <v>851</v>
      </c>
      <c r="K1" s="5" t="s">
        <v>852</v>
      </c>
      <c r="L1" s="5" t="s">
        <v>853</v>
      </c>
      <c r="M1" s="5" t="s">
        <v>846</v>
      </c>
      <c r="N1" s="5" t="s">
        <v>847</v>
      </c>
      <c r="O1" s="5" t="s">
        <v>848</v>
      </c>
    </row>
    <row r="2" spans="1:15" s="3" customFormat="1" ht="72" x14ac:dyDescent="0.2">
      <c r="A2" s="140">
        <v>1</v>
      </c>
      <c r="B2" s="140" t="s">
        <v>15</v>
      </c>
      <c r="C2" s="140" t="s">
        <v>7</v>
      </c>
      <c r="D2" s="140" t="s">
        <v>194</v>
      </c>
      <c r="E2" s="140" t="s">
        <v>18</v>
      </c>
      <c r="F2" s="134">
        <v>44929</v>
      </c>
      <c r="G2" s="140" t="s">
        <v>19</v>
      </c>
      <c r="H2" s="131">
        <v>0</v>
      </c>
      <c r="I2" s="158">
        <v>2</v>
      </c>
      <c r="J2" s="159">
        <v>2</v>
      </c>
      <c r="K2" s="159">
        <v>48</v>
      </c>
      <c r="L2" s="159">
        <f t="shared" ref="L2:L19" si="0">SUM(H2:K2)</f>
        <v>52</v>
      </c>
      <c r="M2" s="140" t="s">
        <v>31</v>
      </c>
      <c r="N2" s="140" t="s">
        <v>118</v>
      </c>
      <c r="O2" s="140" t="s">
        <v>10</v>
      </c>
    </row>
    <row r="3" spans="1:15" s="3" customFormat="1" ht="60" x14ac:dyDescent="0.2">
      <c r="A3" s="185">
        <v>2</v>
      </c>
      <c r="B3" s="140" t="s">
        <v>15</v>
      </c>
      <c r="C3" s="140" t="s">
        <v>8</v>
      </c>
      <c r="D3" s="140" t="s">
        <v>194</v>
      </c>
      <c r="E3" s="140" t="s">
        <v>18</v>
      </c>
      <c r="F3" s="134">
        <v>44931</v>
      </c>
      <c r="G3" s="140" t="s">
        <v>20</v>
      </c>
      <c r="H3" s="131">
        <v>0</v>
      </c>
      <c r="I3" s="158">
        <v>0</v>
      </c>
      <c r="J3" s="159">
        <v>10</v>
      </c>
      <c r="K3" s="159">
        <v>90</v>
      </c>
      <c r="L3" s="159">
        <f t="shared" si="0"/>
        <v>100</v>
      </c>
      <c r="M3" s="140" t="s">
        <v>31</v>
      </c>
      <c r="N3" s="140" t="s">
        <v>118</v>
      </c>
      <c r="O3" s="140" t="s">
        <v>9</v>
      </c>
    </row>
    <row r="4" spans="1:15" s="3" customFormat="1" ht="72" x14ac:dyDescent="0.2">
      <c r="A4" s="185">
        <v>3</v>
      </c>
      <c r="B4" s="140" t="s">
        <v>15</v>
      </c>
      <c r="C4" s="140" t="s">
        <v>7</v>
      </c>
      <c r="D4" s="140" t="s">
        <v>194</v>
      </c>
      <c r="E4" s="140" t="s">
        <v>18</v>
      </c>
      <c r="F4" s="134">
        <v>44932</v>
      </c>
      <c r="G4" s="140" t="s">
        <v>19</v>
      </c>
      <c r="H4" s="131">
        <v>0</v>
      </c>
      <c r="I4" s="158">
        <v>4</v>
      </c>
      <c r="J4" s="159">
        <v>0</v>
      </c>
      <c r="K4" s="159">
        <v>45</v>
      </c>
      <c r="L4" s="159">
        <f t="shared" si="0"/>
        <v>49</v>
      </c>
      <c r="M4" s="140" t="s">
        <v>31</v>
      </c>
      <c r="N4" s="140" t="s">
        <v>118</v>
      </c>
      <c r="O4" s="140" t="s">
        <v>10</v>
      </c>
    </row>
    <row r="5" spans="1:15" s="3" customFormat="1" ht="60" x14ac:dyDescent="0.2">
      <c r="A5" s="185">
        <v>4</v>
      </c>
      <c r="B5" s="140" t="s">
        <v>15</v>
      </c>
      <c r="C5" s="140" t="s">
        <v>11</v>
      </c>
      <c r="D5" s="140" t="s">
        <v>194</v>
      </c>
      <c r="E5" s="140" t="s">
        <v>18</v>
      </c>
      <c r="F5" s="134">
        <v>44933</v>
      </c>
      <c r="G5" s="140" t="s">
        <v>21</v>
      </c>
      <c r="H5" s="131">
        <v>0</v>
      </c>
      <c r="I5" s="158">
        <v>0</v>
      </c>
      <c r="J5" s="159">
        <v>10</v>
      </c>
      <c r="K5" s="159">
        <v>90</v>
      </c>
      <c r="L5" s="159">
        <f t="shared" si="0"/>
        <v>100</v>
      </c>
      <c r="M5" s="140" t="s">
        <v>31</v>
      </c>
      <c r="N5" s="140" t="s">
        <v>118</v>
      </c>
      <c r="O5" s="140" t="s">
        <v>12</v>
      </c>
    </row>
    <row r="6" spans="1:15" ht="60" x14ac:dyDescent="0.3">
      <c r="A6" s="185">
        <v>5</v>
      </c>
      <c r="B6" s="140" t="s">
        <v>17</v>
      </c>
      <c r="C6" s="140" t="s">
        <v>0</v>
      </c>
      <c r="D6" s="140" t="s">
        <v>3</v>
      </c>
      <c r="E6" s="140" t="s">
        <v>18</v>
      </c>
      <c r="F6" s="134" t="s">
        <v>856</v>
      </c>
      <c r="G6" s="140" t="s">
        <v>326</v>
      </c>
      <c r="H6" s="131">
        <v>0</v>
      </c>
      <c r="I6" s="158">
        <v>2</v>
      </c>
      <c r="J6" s="159">
        <v>10</v>
      </c>
      <c r="K6" s="159">
        <v>0</v>
      </c>
      <c r="L6" s="159">
        <f t="shared" si="0"/>
        <v>12</v>
      </c>
      <c r="M6" s="140" t="s">
        <v>32</v>
      </c>
      <c r="N6" s="140" t="s">
        <v>1</v>
      </c>
      <c r="O6" s="140" t="s">
        <v>2</v>
      </c>
    </row>
    <row r="7" spans="1:15" ht="84" x14ac:dyDescent="0.3">
      <c r="A7" s="185">
        <v>6</v>
      </c>
      <c r="B7" s="140" t="s">
        <v>5</v>
      </c>
      <c r="C7" s="140" t="s">
        <v>4</v>
      </c>
      <c r="D7" s="140" t="s">
        <v>162</v>
      </c>
      <c r="E7" s="140" t="s">
        <v>18</v>
      </c>
      <c r="F7" s="134" t="s">
        <v>857</v>
      </c>
      <c r="G7" s="140" t="s">
        <v>22</v>
      </c>
      <c r="H7" s="131">
        <v>50</v>
      </c>
      <c r="I7" s="158">
        <v>5</v>
      </c>
      <c r="J7" s="159">
        <v>9</v>
      </c>
      <c r="K7" s="159">
        <v>0</v>
      </c>
      <c r="L7" s="159">
        <f t="shared" si="0"/>
        <v>64</v>
      </c>
      <c r="M7" s="140" t="s">
        <v>33</v>
      </c>
      <c r="N7" s="140" t="s">
        <v>118</v>
      </c>
      <c r="O7" s="140" t="s">
        <v>6</v>
      </c>
    </row>
    <row r="8" spans="1:15" ht="36" x14ac:dyDescent="0.3">
      <c r="A8" s="185">
        <v>7</v>
      </c>
      <c r="B8" s="140" t="s">
        <v>17</v>
      </c>
      <c r="C8" s="140" t="s">
        <v>13</v>
      </c>
      <c r="D8" s="140" t="s">
        <v>194</v>
      </c>
      <c r="E8" s="140" t="s">
        <v>18</v>
      </c>
      <c r="F8" s="134">
        <v>44942</v>
      </c>
      <c r="G8" s="140" t="s">
        <v>19</v>
      </c>
      <c r="H8" s="131">
        <v>0</v>
      </c>
      <c r="I8" s="158">
        <v>15</v>
      </c>
      <c r="J8" s="159">
        <v>20</v>
      </c>
      <c r="K8" s="159">
        <v>0</v>
      </c>
      <c r="L8" s="159">
        <f t="shared" si="0"/>
        <v>35</v>
      </c>
      <c r="M8" s="140" t="s">
        <v>30</v>
      </c>
      <c r="N8" s="140" t="s">
        <v>118</v>
      </c>
      <c r="O8" s="140" t="s">
        <v>14</v>
      </c>
    </row>
    <row r="9" spans="1:15" s="8" customFormat="1" ht="24" x14ac:dyDescent="0.3">
      <c r="A9" s="185">
        <v>8</v>
      </c>
      <c r="B9" s="140" t="s">
        <v>17</v>
      </c>
      <c r="C9" s="140" t="s">
        <v>42</v>
      </c>
      <c r="D9" s="140" t="s">
        <v>194</v>
      </c>
      <c r="E9" s="140" t="s">
        <v>18</v>
      </c>
      <c r="F9" s="134">
        <v>44946</v>
      </c>
      <c r="G9" s="140" t="s">
        <v>43</v>
      </c>
      <c r="H9" s="131">
        <v>0</v>
      </c>
      <c r="I9" s="158">
        <v>0</v>
      </c>
      <c r="J9" s="159">
        <v>9</v>
      </c>
      <c r="K9" s="159">
        <v>0</v>
      </c>
      <c r="L9" s="159">
        <f t="shared" si="0"/>
        <v>9</v>
      </c>
      <c r="M9" s="140" t="s">
        <v>44</v>
      </c>
      <c r="N9" s="140" t="s">
        <v>118</v>
      </c>
      <c r="O9" s="140" t="s">
        <v>45</v>
      </c>
    </row>
    <row r="10" spans="1:15" ht="216" x14ac:dyDescent="0.3">
      <c r="A10" s="185">
        <v>9</v>
      </c>
      <c r="B10" s="140" t="s">
        <v>15</v>
      </c>
      <c r="C10" s="140" t="s">
        <v>23</v>
      </c>
      <c r="D10" s="140" t="s">
        <v>194</v>
      </c>
      <c r="E10" s="140" t="s">
        <v>18</v>
      </c>
      <c r="F10" s="134">
        <v>44951</v>
      </c>
      <c r="G10" s="140" t="s">
        <v>19</v>
      </c>
      <c r="H10" s="131">
        <v>0</v>
      </c>
      <c r="I10" s="131">
        <v>192</v>
      </c>
      <c r="J10" s="132">
        <v>759</v>
      </c>
      <c r="K10" s="132">
        <v>33</v>
      </c>
      <c r="L10" s="159">
        <f t="shared" si="0"/>
        <v>984</v>
      </c>
      <c r="M10" s="140" t="s">
        <v>29</v>
      </c>
      <c r="N10" s="140" t="s">
        <v>118</v>
      </c>
      <c r="O10" s="140" t="s">
        <v>16</v>
      </c>
    </row>
    <row r="11" spans="1:15" s="8" customFormat="1" ht="24" x14ac:dyDescent="0.3">
      <c r="A11" s="185">
        <v>10</v>
      </c>
      <c r="B11" s="140" t="s">
        <v>17</v>
      </c>
      <c r="C11" s="140" t="s">
        <v>42</v>
      </c>
      <c r="D11" s="140" t="s">
        <v>194</v>
      </c>
      <c r="E11" s="140" t="s">
        <v>18</v>
      </c>
      <c r="F11" s="134">
        <v>44953</v>
      </c>
      <c r="G11" s="140" t="s">
        <v>43</v>
      </c>
      <c r="H11" s="131">
        <v>0</v>
      </c>
      <c r="I11" s="158">
        <v>0</v>
      </c>
      <c r="J11" s="159">
        <v>9</v>
      </c>
      <c r="K11" s="159">
        <v>0</v>
      </c>
      <c r="L11" s="159">
        <f t="shared" si="0"/>
        <v>9</v>
      </c>
      <c r="M11" s="140" t="s">
        <v>44</v>
      </c>
      <c r="N11" s="140" t="s">
        <v>118</v>
      </c>
      <c r="O11" s="140" t="s">
        <v>46</v>
      </c>
    </row>
    <row r="12" spans="1:15" s="8" customFormat="1" ht="36" x14ac:dyDescent="0.3">
      <c r="A12" s="185">
        <v>11</v>
      </c>
      <c r="B12" s="140" t="s">
        <v>15</v>
      </c>
      <c r="C12" s="140" t="s">
        <v>51</v>
      </c>
      <c r="D12" s="140" t="s">
        <v>194</v>
      </c>
      <c r="E12" s="140" t="s">
        <v>18</v>
      </c>
      <c r="F12" s="134">
        <v>44954</v>
      </c>
      <c r="G12" s="140" t="s">
        <v>19</v>
      </c>
      <c r="H12" s="131">
        <v>0</v>
      </c>
      <c r="I12" s="158">
        <v>1</v>
      </c>
      <c r="J12" s="159">
        <v>7</v>
      </c>
      <c r="K12" s="159">
        <v>0</v>
      </c>
      <c r="L12" s="159">
        <f t="shared" si="0"/>
        <v>8</v>
      </c>
      <c r="M12" s="140" t="s">
        <v>52</v>
      </c>
      <c r="N12" s="140" t="s">
        <v>118</v>
      </c>
      <c r="O12" s="140" t="s">
        <v>53</v>
      </c>
    </row>
    <row r="13" spans="1:15" ht="132" x14ac:dyDescent="0.3">
      <c r="A13" s="185">
        <v>12</v>
      </c>
      <c r="B13" s="140" t="s">
        <v>25</v>
      </c>
      <c r="C13" s="140" t="s">
        <v>24</v>
      </c>
      <c r="D13" s="140" t="s">
        <v>194</v>
      </c>
      <c r="E13" s="140" t="s">
        <v>18</v>
      </c>
      <c r="F13" s="134">
        <v>44956</v>
      </c>
      <c r="G13" s="140" t="s">
        <v>19</v>
      </c>
      <c r="H13" s="140">
        <v>5</v>
      </c>
      <c r="I13" s="140">
        <v>20</v>
      </c>
      <c r="J13" s="140">
        <v>40</v>
      </c>
      <c r="K13" s="140">
        <v>0</v>
      </c>
      <c r="L13" s="140">
        <f t="shared" si="0"/>
        <v>65</v>
      </c>
      <c r="M13" s="140" t="s">
        <v>28</v>
      </c>
      <c r="N13" s="140" t="s">
        <v>118</v>
      </c>
      <c r="O13" s="140" t="s">
        <v>26</v>
      </c>
    </row>
    <row r="14" spans="1:15" s="8" customFormat="1" ht="60" x14ac:dyDescent="0.3">
      <c r="A14" s="185">
        <v>13</v>
      </c>
      <c r="B14" s="140" t="s">
        <v>38</v>
      </c>
      <c r="C14" s="140" t="s">
        <v>39</v>
      </c>
      <c r="D14" s="140" t="s">
        <v>194</v>
      </c>
      <c r="E14" s="140" t="s">
        <v>18</v>
      </c>
      <c r="F14" s="134">
        <v>44958</v>
      </c>
      <c r="G14" s="140" t="s">
        <v>19</v>
      </c>
      <c r="H14" s="140">
        <v>0</v>
      </c>
      <c r="I14" s="140">
        <v>59</v>
      </c>
      <c r="J14" s="140">
        <v>161</v>
      </c>
      <c r="K14" s="140">
        <v>0</v>
      </c>
      <c r="L14" s="140">
        <f t="shared" si="0"/>
        <v>220</v>
      </c>
      <c r="M14" s="140" t="s">
        <v>41</v>
      </c>
      <c r="N14" s="140" t="s">
        <v>118</v>
      </c>
      <c r="O14" s="140" t="s">
        <v>40</v>
      </c>
    </row>
    <row r="15" spans="1:15" s="8" customFormat="1" ht="132" x14ac:dyDescent="0.3">
      <c r="A15" s="185">
        <v>14</v>
      </c>
      <c r="B15" s="140" t="s">
        <v>38</v>
      </c>
      <c r="C15" s="140" t="s">
        <v>47</v>
      </c>
      <c r="D15" s="140" t="s">
        <v>162</v>
      </c>
      <c r="E15" s="140" t="s">
        <v>18</v>
      </c>
      <c r="F15" s="134">
        <v>44958</v>
      </c>
      <c r="G15" s="140" t="s">
        <v>48</v>
      </c>
      <c r="H15" s="140">
        <v>0</v>
      </c>
      <c r="I15" s="140">
        <v>0</v>
      </c>
      <c r="J15" s="140">
        <v>7</v>
      </c>
      <c r="K15" s="140">
        <v>0</v>
      </c>
      <c r="L15" s="140">
        <f t="shared" si="0"/>
        <v>7</v>
      </c>
      <c r="M15" s="140" t="s">
        <v>49</v>
      </c>
      <c r="N15" s="140" t="s">
        <v>1</v>
      </c>
      <c r="O15" s="140" t="s">
        <v>50</v>
      </c>
    </row>
    <row r="16" spans="1:15" ht="72" x14ac:dyDescent="0.3">
      <c r="A16" s="185">
        <v>15</v>
      </c>
      <c r="B16" s="140" t="s">
        <v>15</v>
      </c>
      <c r="C16" s="140" t="s">
        <v>27</v>
      </c>
      <c r="D16" s="140" t="s">
        <v>194</v>
      </c>
      <c r="E16" s="140" t="s">
        <v>18</v>
      </c>
      <c r="F16" s="134">
        <v>44959</v>
      </c>
      <c r="G16" s="140" t="s">
        <v>19</v>
      </c>
      <c r="H16" s="140">
        <v>0</v>
      </c>
      <c r="I16" s="140">
        <v>15</v>
      </c>
      <c r="J16" s="140">
        <v>81</v>
      </c>
      <c r="K16" s="140">
        <v>0</v>
      </c>
      <c r="L16" s="140">
        <f t="shared" si="0"/>
        <v>96</v>
      </c>
      <c r="M16" s="140" t="s">
        <v>34</v>
      </c>
      <c r="N16" s="140" t="s">
        <v>118</v>
      </c>
      <c r="O16" s="140" t="s">
        <v>35</v>
      </c>
    </row>
    <row r="17" spans="1:15" ht="165.75" customHeight="1" x14ac:dyDescent="0.3">
      <c r="A17" s="185">
        <v>16</v>
      </c>
      <c r="B17" s="140" t="s">
        <v>36</v>
      </c>
      <c r="C17" s="140" t="s">
        <v>433</v>
      </c>
      <c r="D17" s="140" t="s">
        <v>194</v>
      </c>
      <c r="E17" s="140" t="s">
        <v>18</v>
      </c>
      <c r="F17" s="134">
        <v>44959</v>
      </c>
      <c r="G17" s="140" t="s">
        <v>19</v>
      </c>
      <c r="H17" s="140">
        <v>17</v>
      </c>
      <c r="I17" s="140">
        <v>40</v>
      </c>
      <c r="J17" s="140">
        <v>60</v>
      </c>
      <c r="K17" s="140">
        <v>0</v>
      </c>
      <c r="L17" s="140">
        <f t="shared" si="0"/>
        <v>117</v>
      </c>
      <c r="M17" s="140" t="s">
        <v>28</v>
      </c>
      <c r="N17" s="140" t="s">
        <v>118</v>
      </c>
      <c r="O17" s="140" t="s">
        <v>37</v>
      </c>
    </row>
    <row r="18" spans="1:15" s="8" customFormat="1" ht="36" x14ac:dyDescent="0.3">
      <c r="A18" s="185">
        <v>17</v>
      </c>
      <c r="B18" s="140" t="s">
        <v>15</v>
      </c>
      <c r="C18" s="140" t="s">
        <v>51</v>
      </c>
      <c r="D18" s="140" t="s">
        <v>194</v>
      </c>
      <c r="E18" s="140" t="s">
        <v>18</v>
      </c>
      <c r="F18" s="134">
        <v>44961</v>
      </c>
      <c r="G18" s="140" t="s">
        <v>19</v>
      </c>
      <c r="H18" s="140">
        <v>0</v>
      </c>
      <c r="I18" s="140">
        <v>1</v>
      </c>
      <c r="J18" s="140">
        <v>7</v>
      </c>
      <c r="K18" s="140">
        <v>0</v>
      </c>
      <c r="L18" s="140">
        <f t="shared" si="0"/>
        <v>8</v>
      </c>
      <c r="M18" s="140" t="s">
        <v>52</v>
      </c>
      <c r="N18" s="140" t="s">
        <v>118</v>
      </c>
      <c r="O18" s="140" t="s">
        <v>53</v>
      </c>
    </row>
    <row r="19" spans="1:15" ht="96" x14ac:dyDescent="0.3">
      <c r="A19" s="185">
        <v>18</v>
      </c>
      <c r="B19" s="140" t="s">
        <v>17</v>
      </c>
      <c r="C19" s="140" t="s">
        <v>54</v>
      </c>
      <c r="D19" s="140" t="s">
        <v>194</v>
      </c>
      <c r="E19" s="140" t="s">
        <v>18</v>
      </c>
      <c r="F19" s="140" t="s">
        <v>858</v>
      </c>
      <c r="G19" s="140" t="s">
        <v>167</v>
      </c>
      <c r="H19" s="140">
        <v>10</v>
      </c>
      <c r="I19" s="140">
        <v>15</v>
      </c>
      <c r="J19" s="140">
        <v>91</v>
      </c>
      <c r="K19" s="140">
        <v>4</v>
      </c>
      <c r="L19" s="140">
        <f t="shared" si="0"/>
        <v>120</v>
      </c>
      <c r="M19" s="140" t="s">
        <v>28</v>
      </c>
      <c r="N19" s="140" t="s">
        <v>118</v>
      </c>
      <c r="O19" s="140" t="s">
        <v>55</v>
      </c>
    </row>
    <row r="20" spans="1:15" ht="72" x14ac:dyDescent="0.3">
      <c r="A20" s="185">
        <v>19</v>
      </c>
      <c r="B20" s="140" t="s">
        <v>15</v>
      </c>
      <c r="C20" s="140" t="s">
        <v>56</v>
      </c>
      <c r="D20" s="140" t="s">
        <v>194</v>
      </c>
      <c r="E20" s="140" t="s">
        <v>18</v>
      </c>
      <c r="F20" s="134">
        <v>44966</v>
      </c>
      <c r="G20" s="140" t="s">
        <v>19</v>
      </c>
      <c r="H20" s="140">
        <v>0</v>
      </c>
      <c r="I20" s="140">
        <v>3</v>
      </c>
      <c r="J20" s="140">
        <v>17</v>
      </c>
      <c r="K20" s="140">
        <v>0</v>
      </c>
      <c r="L20" s="140">
        <f t="shared" ref="L20:L51" si="1">SUM(H20:K20)</f>
        <v>20</v>
      </c>
      <c r="M20" s="140" t="s">
        <v>52</v>
      </c>
      <c r="N20" s="140" t="s">
        <v>118</v>
      </c>
      <c r="O20" s="140" t="s">
        <v>66</v>
      </c>
    </row>
    <row r="21" spans="1:15" ht="60" x14ac:dyDescent="0.3">
      <c r="A21" s="185">
        <v>20</v>
      </c>
      <c r="B21" s="140" t="s">
        <v>15</v>
      </c>
      <c r="C21" s="140" t="s">
        <v>57</v>
      </c>
      <c r="D21" s="140" t="s">
        <v>194</v>
      </c>
      <c r="E21" s="140" t="s">
        <v>18</v>
      </c>
      <c r="F21" s="134">
        <v>44966</v>
      </c>
      <c r="G21" s="140" t="s">
        <v>167</v>
      </c>
      <c r="H21" s="131">
        <v>5</v>
      </c>
      <c r="I21" s="158">
        <v>8</v>
      </c>
      <c r="J21" s="159">
        <v>10</v>
      </c>
      <c r="K21" s="159">
        <v>4</v>
      </c>
      <c r="L21" s="140">
        <f t="shared" si="1"/>
        <v>27</v>
      </c>
      <c r="M21" s="140" t="s">
        <v>58</v>
      </c>
      <c r="N21" s="140" t="s">
        <v>118</v>
      </c>
      <c r="O21" s="140" t="s">
        <v>59</v>
      </c>
    </row>
    <row r="22" spans="1:15" ht="60" x14ac:dyDescent="0.3">
      <c r="A22" s="185">
        <v>21</v>
      </c>
      <c r="B22" s="140" t="s">
        <v>60</v>
      </c>
      <c r="C22" s="140" t="s">
        <v>63</v>
      </c>
      <c r="D22" s="140" t="s">
        <v>194</v>
      </c>
      <c r="E22" s="140" t="s">
        <v>18</v>
      </c>
      <c r="F22" s="134">
        <v>44966</v>
      </c>
      <c r="G22" s="140" t="s">
        <v>167</v>
      </c>
      <c r="H22" s="131">
        <v>0</v>
      </c>
      <c r="I22" s="158">
        <v>15</v>
      </c>
      <c r="J22" s="159">
        <v>12</v>
      </c>
      <c r="K22" s="159">
        <v>2</v>
      </c>
      <c r="L22" s="159">
        <f t="shared" si="1"/>
        <v>29</v>
      </c>
      <c r="M22" s="140" t="s">
        <v>61</v>
      </c>
      <c r="N22" s="140" t="s">
        <v>118</v>
      </c>
      <c r="O22" s="140" t="s">
        <v>62</v>
      </c>
    </row>
    <row r="23" spans="1:15" ht="72" x14ac:dyDescent="0.3">
      <c r="A23" s="185">
        <v>22</v>
      </c>
      <c r="B23" s="140" t="s">
        <v>15</v>
      </c>
      <c r="C23" s="140" t="s">
        <v>64</v>
      </c>
      <c r="D23" s="140" t="s">
        <v>194</v>
      </c>
      <c r="E23" s="140" t="s">
        <v>18</v>
      </c>
      <c r="F23" s="134">
        <v>44966</v>
      </c>
      <c r="G23" s="140" t="s">
        <v>19</v>
      </c>
      <c r="H23" s="140">
        <v>0</v>
      </c>
      <c r="I23" s="140">
        <v>0</v>
      </c>
      <c r="J23" s="140">
        <v>42</v>
      </c>
      <c r="K23" s="140">
        <v>0</v>
      </c>
      <c r="L23" s="140">
        <f t="shared" si="1"/>
        <v>42</v>
      </c>
      <c r="M23" s="140" t="s">
        <v>296</v>
      </c>
      <c r="N23" s="140" t="s">
        <v>118</v>
      </c>
      <c r="O23" s="140" t="s">
        <v>65</v>
      </c>
    </row>
    <row r="24" spans="1:15" ht="122.25" customHeight="1" x14ac:dyDescent="0.3">
      <c r="A24" s="185">
        <v>23</v>
      </c>
      <c r="B24" s="140" t="s">
        <v>36</v>
      </c>
      <c r="C24" s="140" t="s">
        <v>67</v>
      </c>
      <c r="D24" s="140" t="s">
        <v>68</v>
      </c>
      <c r="E24" s="140" t="s">
        <v>18</v>
      </c>
      <c r="F24" s="134">
        <v>44967</v>
      </c>
      <c r="G24" s="140" t="s">
        <v>19</v>
      </c>
      <c r="H24" s="140">
        <v>5</v>
      </c>
      <c r="I24" s="140">
        <v>50</v>
      </c>
      <c r="J24" s="140">
        <v>140</v>
      </c>
      <c r="K24" s="140">
        <v>0</v>
      </c>
      <c r="L24" s="140">
        <f t="shared" si="1"/>
        <v>195</v>
      </c>
      <c r="M24" s="140" t="s">
        <v>69</v>
      </c>
      <c r="N24" s="140" t="s">
        <v>1</v>
      </c>
      <c r="O24" s="140" t="s">
        <v>70</v>
      </c>
    </row>
    <row r="25" spans="1:15" s="8" customFormat="1" ht="175.5" customHeight="1" x14ac:dyDescent="0.3">
      <c r="A25" s="185">
        <v>24</v>
      </c>
      <c r="B25" s="140" t="s">
        <v>17</v>
      </c>
      <c r="C25" s="140" t="s">
        <v>73</v>
      </c>
      <c r="D25" s="140" t="s">
        <v>68</v>
      </c>
      <c r="E25" s="140" t="s">
        <v>18</v>
      </c>
      <c r="F25" s="134">
        <v>44968</v>
      </c>
      <c r="G25" s="140" t="s">
        <v>75</v>
      </c>
      <c r="H25" s="131">
        <v>0</v>
      </c>
      <c r="I25" s="158">
        <v>1</v>
      </c>
      <c r="J25" s="159">
        <v>7</v>
      </c>
      <c r="K25" s="159">
        <v>0</v>
      </c>
      <c r="L25" s="140">
        <f t="shared" si="1"/>
        <v>8</v>
      </c>
      <c r="M25" s="140" t="s">
        <v>32</v>
      </c>
      <c r="N25" s="140" t="s">
        <v>1</v>
      </c>
      <c r="O25" s="140" t="s">
        <v>74</v>
      </c>
    </row>
    <row r="26" spans="1:15" s="8" customFormat="1" ht="96" x14ac:dyDescent="0.3">
      <c r="A26" s="185">
        <v>25</v>
      </c>
      <c r="B26" s="140" t="s">
        <v>15</v>
      </c>
      <c r="C26" s="140" t="s">
        <v>76</v>
      </c>
      <c r="D26" s="140" t="s">
        <v>194</v>
      </c>
      <c r="E26" s="140" t="s">
        <v>18</v>
      </c>
      <c r="F26" s="134">
        <v>44970</v>
      </c>
      <c r="G26" s="140" t="s">
        <v>19</v>
      </c>
      <c r="H26" s="131">
        <v>0</v>
      </c>
      <c r="I26" s="158">
        <v>16</v>
      </c>
      <c r="J26" s="159">
        <v>25</v>
      </c>
      <c r="K26" s="159">
        <v>2</v>
      </c>
      <c r="L26" s="140">
        <f t="shared" si="1"/>
        <v>43</v>
      </c>
      <c r="M26" s="140" t="s">
        <v>77</v>
      </c>
      <c r="N26" s="140" t="s">
        <v>118</v>
      </c>
      <c r="O26" s="140" t="s">
        <v>80</v>
      </c>
    </row>
    <row r="27" spans="1:15" s="15" customFormat="1" ht="48" x14ac:dyDescent="0.3">
      <c r="A27" s="185">
        <v>26</v>
      </c>
      <c r="B27" s="140" t="s">
        <v>113</v>
      </c>
      <c r="C27" s="140" t="s">
        <v>117</v>
      </c>
      <c r="D27" s="140" t="s">
        <v>68</v>
      </c>
      <c r="E27" s="140" t="s">
        <v>18</v>
      </c>
      <c r="F27" s="134">
        <v>44972</v>
      </c>
      <c r="G27" s="140" t="s">
        <v>48</v>
      </c>
      <c r="H27" s="131">
        <v>0</v>
      </c>
      <c r="I27" s="131">
        <v>15</v>
      </c>
      <c r="J27" s="131">
        <v>35</v>
      </c>
      <c r="K27" s="131">
        <v>0</v>
      </c>
      <c r="L27" s="131">
        <f t="shared" si="1"/>
        <v>50</v>
      </c>
      <c r="M27" s="140" t="s">
        <v>49</v>
      </c>
      <c r="N27" s="140" t="s">
        <v>1</v>
      </c>
      <c r="O27" s="140" t="s">
        <v>119</v>
      </c>
    </row>
    <row r="28" spans="1:15" s="9" customFormat="1" ht="72" x14ac:dyDescent="0.3">
      <c r="A28" s="185">
        <v>27</v>
      </c>
      <c r="B28" s="140" t="s">
        <v>15</v>
      </c>
      <c r="C28" s="140" t="s">
        <v>78</v>
      </c>
      <c r="D28" s="140" t="s">
        <v>194</v>
      </c>
      <c r="E28" s="140" t="s">
        <v>18</v>
      </c>
      <c r="F28" s="134">
        <v>44972</v>
      </c>
      <c r="G28" s="140" t="s">
        <v>19</v>
      </c>
      <c r="H28" s="140">
        <v>0</v>
      </c>
      <c r="I28" s="140">
        <v>8</v>
      </c>
      <c r="J28" s="140">
        <v>9</v>
      </c>
      <c r="K28" s="140">
        <v>0</v>
      </c>
      <c r="L28" s="140">
        <f t="shared" si="1"/>
        <v>17</v>
      </c>
      <c r="M28" s="140" t="s">
        <v>52</v>
      </c>
      <c r="N28" s="140" t="s">
        <v>118</v>
      </c>
      <c r="O28" s="140" t="s">
        <v>79</v>
      </c>
    </row>
    <row r="29" spans="1:15" s="20" customFormat="1" ht="36" x14ac:dyDescent="0.3">
      <c r="A29" s="185">
        <v>28</v>
      </c>
      <c r="B29" s="140" t="s">
        <v>15</v>
      </c>
      <c r="C29" s="140" t="s">
        <v>127</v>
      </c>
      <c r="D29" s="140" t="s">
        <v>194</v>
      </c>
      <c r="E29" s="140" t="s">
        <v>18</v>
      </c>
      <c r="F29" s="134" t="s">
        <v>128</v>
      </c>
      <c r="G29" s="140" t="s">
        <v>19</v>
      </c>
      <c r="H29" s="140">
        <v>0</v>
      </c>
      <c r="I29" s="140">
        <v>0</v>
      </c>
      <c r="J29" s="140">
        <v>53</v>
      </c>
      <c r="K29" s="140">
        <v>0</v>
      </c>
      <c r="L29" s="140">
        <f t="shared" si="1"/>
        <v>53</v>
      </c>
      <c r="M29" s="140" t="s">
        <v>439</v>
      </c>
      <c r="N29" s="140" t="s">
        <v>118</v>
      </c>
      <c r="O29" s="140" t="s">
        <v>129</v>
      </c>
    </row>
    <row r="30" spans="1:15" ht="60" x14ac:dyDescent="0.3">
      <c r="A30" s="185">
        <v>29</v>
      </c>
      <c r="B30" s="140" t="s">
        <v>15</v>
      </c>
      <c r="C30" s="140" t="s">
        <v>71</v>
      </c>
      <c r="D30" s="140" t="s">
        <v>194</v>
      </c>
      <c r="E30" s="140" t="s">
        <v>18</v>
      </c>
      <c r="F30" s="134">
        <v>44974</v>
      </c>
      <c r="G30" s="140" t="s">
        <v>19</v>
      </c>
      <c r="H30" s="140">
        <v>30</v>
      </c>
      <c r="I30" s="140">
        <v>140</v>
      </c>
      <c r="J30" s="140">
        <v>390</v>
      </c>
      <c r="K30" s="140">
        <v>50</v>
      </c>
      <c r="L30" s="140">
        <f t="shared" si="1"/>
        <v>610</v>
      </c>
      <c r="M30" s="140" t="s">
        <v>28</v>
      </c>
      <c r="N30" s="140" t="s">
        <v>118</v>
      </c>
      <c r="O30" s="140" t="s">
        <v>72</v>
      </c>
    </row>
    <row r="31" spans="1:15" s="16" customFormat="1" ht="48" x14ac:dyDescent="0.3">
      <c r="A31" s="185">
        <v>30</v>
      </c>
      <c r="B31" s="140" t="s">
        <v>113</v>
      </c>
      <c r="C31" s="140" t="s">
        <v>114</v>
      </c>
      <c r="D31" s="140" t="s">
        <v>68</v>
      </c>
      <c r="E31" s="140" t="s">
        <v>18</v>
      </c>
      <c r="F31" s="134" t="s">
        <v>115</v>
      </c>
      <c r="G31" s="140" t="s">
        <v>48</v>
      </c>
      <c r="H31" s="131">
        <v>0</v>
      </c>
      <c r="I31" s="158">
        <v>0</v>
      </c>
      <c r="J31" s="159">
        <v>5</v>
      </c>
      <c r="K31" s="159">
        <v>0</v>
      </c>
      <c r="L31" s="140">
        <f t="shared" si="1"/>
        <v>5</v>
      </c>
      <c r="M31" s="140" t="s">
        <v>49</v>
      </c>
      <c r="N31" s="140" t="s">
        <v>1</v>
      </c>
      <c r="O31" s="140" t="s">
        <v>116</v>
      </c>
    </row>
    <row r="32" spans="1:15" s="16" customFormat="1" ht="186" customHeight="1" x14ac:dyDescent="0.3">
      <c r="A32" s="185">
        <v>31</v>
      </c>
      <c r="B32" s="140" t="s">
        <v>113</v>
      </c>
      <c r="C32" s="140" t="s">
        <v>121</v>
      </c>
      <c r="D32" s="140" t="s">
        <v>3</v>
      </c>
      <c r="E32" s="140" t="s">
        <v>18</v>
      </c>
      <c r="F32" s="134" t="s">
        <v>120</v>
      </c>
      <c r="G32" s="140" t="s">
        <v>19</v>
      </c>
      <c r="H32" s="131">
        <v>0</v>
      </c>
      <c r="I32" s="158">
        <v>9</v>
      </c>
      <c r="J32" s="159">
        <v>11</v>
      </c>
      <c r="K32" s="159">
        <v>0</v>
      </c>
      <c r="L32" s="140">
        <f t="shared" si="1"/>
        <v>20</v>
      </c>
      <c r="M32" s="140" t="s">
        <v>49</v>
      </c>
      <c r="N32" s="140" t="s">
        <v>1</v>
      </c>
      <c r="O32" s="140" t="s">
        <v>459</v>
      </c>
    </row>
    <row r="33" spans="1:15" ht="48" x14ac:dyDescent="0.3">
      <c r="A33" s="185">
        <v>32</v>
      </c>
      <c r="B33" s="140" t="s">
        <v>36</v>
      </c>
      <c r="C33" s="140" t="s">
        <v>81</v>
      </c>
      <c r="D33" s="140" t="s">
        <v>194</v>
      </c>
      <c r="E33" s="140" t="s">
        <v>18</v>
      </c>
      <c r="F33" s="134">
        <v>44979</v>
      </c>
      <c r="G33" s="140" t="s">
        <v>19</v>
      </c>
      <c r="H33" s="140">
        <v>20</v>
      </c>
      <c r="I33" s="140">
        <v>40</v>
      </c>
      <c r="J33" s="140">
        <v>104</v>
      </c>
      <c r="K33" s="140">
        <v>3</v>
      </c>
      <c r="L33" s="140">
        <f t="shared" si="1"/>
        <v>167</v>
      </c>
      <c r="M33" s="140" t="s">
        <v>28</v>
      </c>
      <c r="N33" s="140" t="s">
        <v>118</v>
      </c>
      <c r="O33" s="140" t="s">
        <v>82</v>
      </c>
    </row>
    <row r="34" spans="1:15" ht="126" customHeight="1" x14ac:dyDescent="0.3">
      <c r="A34" s="185">
        <v>33</v>
      </c>
      <c r="B34" s="140" t="s">
        <v>36</v>
      </c>
      <c r="C34" s="140" t="s">
        <v>83</v>
      </c>
      <c r="D34" s="140" t="s">
        <v>194</v>
      </c>
      <c r="E34" s="140" t="s">
        <v>18</v>
      </c>
      <c r="F34" s="134">
        <v>44979</v>
      </c>
      <c r="G34" s="140" t="s">
        <v>19</v>
      </c>
      <c r="H34" s="140">
        <v>20</v>
      </c>
      <c r="I34" s="140">
        <v>40</v>
      </c>
      <c r="J34" s="140">
        <v>140</v>
      </c>
      <c r="K34" s="140">
        <v>20</v>
      </c>
      <c r="L34" s="140">
        <f t="shared" si="1"/>
        <v>220</v>
      </c>
      <c r="M34" s="140" t="s">
        <v>28</v>
      </c>
      <c r="N34" s="140" t="s">
        <v>118</v>
      </c>
      <c r="O34" s="140" t="s">
        <v>84</v>
      </c>
    </row>
    <row r="35" spans="1:15" s="10" customFormat="1" ht="72" x14ac:dyDescent="0.3">
      <c r="A35" s="185">
        <v>34</v>
      </c>
      <c r="B35" s="140" t="s">
        <v>15</v>
      </c>
      <c r="C35" s="140" t="s">
        <v>91</v>
      </c>
      <c r="D35" s="140" t="s">
        <v>194</v>
      </c>
      <c r="E35" s="140" t="s">
        <v>18</v>
      </c>
      <c r="F35" s="134">
        <v>44979</v>
      </c>
      <c r="G35" s="140" t="s">
        <v>19</v>
      </c>
      <c r="H35" s="131">
        <v>0</v>
      </c>
      <c r="I35" s="131">
        <v>5</v>
      </c>
      <c r="J35" s="131">
        <v>11</v>
      </c>
      <c r="K35" s="131">
        <v>0</v>
      </c>
      <c r="L35" s="140">
        <f t="shared" si="1"/>
        <v>16</v>
      </c>
      <c r="M35" s="140" t="s">
        <v>52</v>
      </c>
      <c r="N35" s="140" t="s">
        <v>118</v>
      </c>
      <c r="O35" s="140" t="s">
        <v>92</v>
      </c>
    </row>
    <row r="36" spans="1:15" ht="60" x14ac:dyDescent="0.3">
      <c r="A36" s="185">
        <v>35</v>
      </c>
      <c r="B36" s="140" t="s">
        <v>15</v>
      </c>
      <c r="C36" s="140" t="s">
        <v>85</v>
      </c>
      <c r="D36" s="140" t="s">
        <v>194</v>
      </c>
      <c r="E36" s="140" t="s">
        <v>18</v>
      </c>
      <c r="F36" s="134">
        <v>44984</v>
      </c>
      <c r="G36" s="140" t="s">
        <v>19</v>
      </c>
      <c r="H36" s="150">
        <v>0</v>
      </c>
      <c r="I36" s="160">
        <v>5</v>
      </c>
      <c r="J36" s="161">
        <v>70</v>
      </c>
      <c r="K36" s="140">
        <v>0</v>
      </c>
      <c r="L36" s="140">
        <f t="shared" si="1"/>
        <v>75</v>
      </c>
      <c r="M36" s="140" t="s">
        <v>353</v>
      </c>
      <c r="N36" s="140" t="s">
        <v>118</v>
      </c>
      <c r="O36" s="140" t="s">
        <v>97</v>
      </c>
    </row>
    <row r="37" spans="1:15" ht="60" x14ac:dyDescent="0.3">
      <c r="A37" s="185">
        <v>36</v>
      </c>
      <c r="B37" s="140" t="s">
        <v>17</v>
      </c>
      <c r="C37" s="140" t="s">
        <v>435</v>
      </c>
      <c r="D37" s="140" t="s">
        <v>194</v>
      </c>
      <c r="E37" s="140" t="s">
        <v>18</v>
      </c>
      <c r="F37" s="134">
        <v>44985</v>
      </c>
      <c r="G37" s="140" t="s">
        <v>19</v>
      </c>
      <c r="H37" s="131">
        <v>4</v>
      </c>
      <c r="I37" s="158">
        <v>18</v>
      </c>
      <c r="J37" s="159">
        <v>69</v>
      </c>
      <c r="K37" s="159">
        <v>2</v>
      </c>
      <c r="L37" s="140">
        <f t="shared" si="1"/>
        <v>93</v>
      </c>
      <c r="M37" s="140" t="s">
        <v>86</v>
      </c>
      <c r="N37" s="140" t="s">
        <v>118</v>
      </c>
      <c r="O37" s="140" t="s">
        <v>90</v>
      </c>
    </row>
    <row r="38" spans="1:15" ht="76.5" customHeight="1" x14ac:dyDescent="0.3">
      <c r="A38" s="185">
        <v>37</v>
      </c>
      <c r="B38" s="140" t="s">
        <v>25</v>
      </c>
      <c r="C38" s="140" t="s">
        <v>87</v>
      </c>
      <c r="D38" s="140" t="s">
        <v>194</v>
      </c>
      <c r="E38" s="140" t="s">
        <v>18</v>
      </c>
      <c r="F38" s="134">
        <v>44985</v>
      </c>
      <c r="G38" s="140" t="s">
        <v>19</v>
      </c>
      <c r="H38" s="131">
        <v>0</v>
      </c>
      <c r="I38" s="158">
        <v>1</v>
      </c>
      <c r="J38" s="159">
        <v>41</v>
      </c>
      <c r="K38" s="159">
        <v>0</v>
      </c>
      <c r="L38" s="140">
        <f t="shared" si="1"/>
        <v>42</v>
      </c>
      <c r="M38" s="140" t="s">
        <v>294</v>
      </c>
      <c r="N38" s="140" t="s">
        <v>118</v>
      </c>
      <c r="O38" s="140" t="s">
        <v>99</v>
      </c>
    </row>
    <row r="39" spans="1:15" s="122" customFormat="1" ht="60" x14ac:dyDescent="0.3">
      <c r="A39" s="185">
        <v>38</v>
      </c>
      <c r="B39" s="140" t="s">
        <v>222</v>
      </c>
      <c r="C39" s="140" t="s">
        <v>600</v>
      </c>
      <c r="D39" s="140" t="s">
        <v>3</v>
      </c>
      <c r="E39" s="140" t="s">
        <v>18</v>
      </c>
      <c r="F39" s="134" t="s">
        <v>601</v>
      </c>
      <c r="G39" s="140" t="s">
        <v>326</v>
      </c>
      <c r="H39" s="131">
        <v>1</v>
      </c>
      <c r="I39" s="158">
        <v>1</v>
      </c>
      <c r="J39" s="159">
        <v>12</v>
      </c>
      <c r="K39" s="159">
        <v>0</v>
      </c>
      <c r="L39" s="140">
        <f t="shared" si="1"/>
        <v>14</v>
      </c>
      <c r="M39" s="140" t="s">
        <v>32</v>
      </c>
      <c r="N39" s="140" t="s">
        <v>1</v>
      </c>
      <c r="O39" s="123" t="s">
        <v>602</v>
      </c>
    </row>
    <row r="40" spans="1:15" s="11" customFormat="1" ht="60" x14ac:dyDescent="0.3">
      <c r="A40" s="185">
        <v>39</v>
      </c>
      <c r="B40" s="140" t="s">
        <v>15</v>
      </c>
      <c r="C40" s="140" t="s">
        <v>96</v>
      </c>
      <c r="D40" s="140" t="s">
        <v>194</v>
      </c>
      <c r="E40" s="140" t="s">
        <v>18</v>
      </c>
      <c r="F40" s="32">
        <v>44986</v>
      </c>
      <c r="G40" s="140" t="s">
        <v>19</v>
      </c>
      <c r="H40" s="150">
        <v>0</v>
      </c>
      <c r="I40" s="160">
        <v>17</v>
      </c>
      <c r="J40" s="161">
        <v>73</v>
      </c>
      <c r="K40" s="161">
        <v>3</v>
      </c>
      <c r="L40" s="140">
        <f t="shared" si="1"/>
        <v>93</v>
      </c>
      <c r="M40" s="140" t="s">
        <v>353</v>
      </c>
      <c r="N40" s="140" t="s">
        <v>118</v>
      </c>
      <c r="O40" s="33" t="s">
        <v>98</v>
      </c>
    </row>
    <row r="41" spans="1:15" ht="48" x14ac:dyDescent="0.3">
      <c r="A41" s="185">
        <v>40</v>
      </c>
      <c r="B41" s="140" t="s">
        <v>93</v>
      </c>
      <c r="C41" s="140" t="s">
        <v>88</v>
      </c>
      <c r="D41" s="140" t="s">
        <v>194</v>
      </c>
      <c r="E41" s="140" t="s">
        <v>18</v>
      </c>
      <c r="F41" s="134">
        <v>44988</v>
      </c>
      <c r="G41" s="140" t="s">
        <v>19</v>
      </c>
      <c r="H41" s="140">
        <v>0</v>
      </c>
      <c r="I41" s="158">
        <v>8</v>
      </c>
      <c r="J41" s="159">
        <v>36</v>
      </c>
      <c r="K41" s="159">
        <v>1</v>
      </c>
      <c r="L41" s="140">
        <f t="shared" si="1"/>
        <v>45</v>
      </c>
      <c r="M41" s="140" t="s">
        <v>58</v>
      </c>
      <c r="N41" s="140" t="s">
        <v>118</v>
      </c>
      <c r="O41" s="140" t="s">
        <v>89</v>
      </c>
    </row>
    <row r="42" spans="1:15" ht="36" x14ac:dyDescent="0.3">
      <c r="A42" s="185">
        <v>41</v>
      </c>
      <c r="B42" s="140" t="s">
        <v>93</v>
      </c>
      <c r="C42" s="140" t="s">
        <v>94</v>
      </c>
      <c r="D42" s="140" t="s">
        <v>194</v>
      </c>
      <c r="E42" s="140" t="s">
        <v>18</v>
      </c>
      <c r="F42" s="134">
        <v>44988</v>
      </c>
      <c r="G42" s="140" t="s">
        <v>19</v>
      </c>
      <c r="H42" s="140">
        <v>0</v>
      </c>
      <c r="I42" s="140">
        <v>1</v>
      </c>
      <c r="J42" s="140">
        <v>8</v>
      </c>
      <c r="K42" s="140">
        <v>0</v>
      </c>
      <c r="L42" s="140">
        <f t="shared" si="1"/>
        <v>9</v>
      </c>
      <c r="M42" s="140" t="s">
        <v>52</v>
      </c>
      <c r="N42" s="140" t="s">
        <v>118</v>
      </c>
      <c r="O42" s="140" t="s">
        <v>95</v>
      </c>
    </row>
    <row r="43" spans="1:15" s="14" customFormat="1" ht="36" x14ac:dyDescent="0.3">
      <c r="A43" s="185">
        <v>42</v>
      </c>
      <c r="B43" s="140" t="s">
        <v>60</v>
      </c>
      <c r="C43" s="140" t="s">
        <v>111</v>
      </c>
      <c r="D43" s="140" t="s">
        <v>194</v>
      </c>
      <c r="E43" s="140" t="s">
        <v>18</v>
      </c>
      <c r="F43" s="134">
        <v>44989</v>
      </c>
      <c r="G43" s="140" t="s">
        <v>19</v>
      </c>
      <c r="H43" s="140">
        <v>0</v>
      </c>
      <c r="I43" s="140">
        <v>0</v>
      </c>
      <c r="J43" s="140">
        <v>5</v>
      </c>
      <c r="K43" s="140">
        <v>3</v>
      </c>
      <c r="L43" s="140">
        <f t="shared" si="1"/>
        <v>8</v>
      </c>
      <c r="M43" s="140" t="s">
        <v>31</v>
      </c>
      <c r="N43" s="140" t="s">
        <v>118</v>
      </c>
      <c r="O43" s="140" t="s">
        <v>112</v>
      </c>
    </row>
    <row r="44" spans="1:15" s="12" customFormat="1" ht="36" x14ac:dyDescent="0.3">
      <c r="A44" s="185">
        <v>43</v>
      </c>
      <c r="B44" s="140" t="s">
        <v>15</v>
      </c>
      <c r="C44" s="140" t="s">
        <v>104</v>
      </c>
      <c r="D44" s="140" t="s">
        <v>194</v>
      </c>
      <c r="E44" s="140" t="s">
        <v>18</v>
      </c>
      <c r="F44" s="134">
        <v>44991</v>
      </c>
      <c r="G44" s="140" t="s">
        <v>19</v>
      </c>
      <c r="H44" s="140">
        <v>0</v>
      </c>
      <c r="I44" s="140">
        <v>3</v>
      </c>
      <c r="J44" s="140">
        <v>6</v>
      </c>
      <c r="K44" s="140">
        <v>0</v>
      </c>
      <c r="L44" s="140">
        <f t="shared" si="1"/>
        <v>9</v>
      </c>
      <c r="M44" s="140" t="s">
        <v>52</v>
      </c>
      <c r="N44" s="140" t="s">
        <v>118</v>
      </c>
      <c r="O44" s="140" t="s">
        <v>105</v>
      </c>
    </row>
    <row r="45" spans="1:15" s="12" customFormat="1" ht="48" x14ac:dyDescent="0.3">
      <c r="A45" s="185">
        <v>44</v>
      </c>
      <c r="B45" s="140" t="s">
        <v>15</v>
      </c>
      <c r="C45" s="140" t="s">
        <v>103</v>
      </c>
      <c r="D45" s="140" t="s">
        <v>194</v>
      </c>
      <c r="E45" s="140" t="s">
        <v>18</v>
      </c>
      <c r="F45" s="134">
        <v>44992</v>
      </c>
      <c r="G45" s="140" t="s">
        <v>19</v>
      </c>
      <c r="H45" s="140">
        <v>90</v>
      </c>
      <c r="I45" s="140">
        <v>90</v>
      </c>
      <c r="J45" s="140">
        <v>265</v>
      </c>
      <c r="K45" s="140">
        <v>50</v>
      </c>
      <c r="L45" s="140">
        <f t="shared" si="1"/>
        <v>495</v>
      </c>
      <c r="M45" s="140" t="s">
        <v>28</v>
      </c>
      <c r="N45" s="140" t="s">
        <v>118</v>
      </c>
      <c r="O45" s="140" t="s">
        <v>107</v>
      </c>
    </row>
    <row r="46" spans="1:15" s="13" customFormat="1" ht="60" x14ac:dyDescent="0.3">
      <c r="A46" s="185">
        <v>45</v>
      </c>
      <c r="B46" s="140" t="s">
        <v>15</v>
      </c>
      <c r="C46" s="140" t="s">
        <v>106</v>
      </c>
      <c r="D46" s="140" t="s">
        <v>194</v>
      </c>
      <c r="E46" s="140" t="s">
        <v>18</v>
      </c>
      <c r="F46" s="134">
        <v>44992</v>
      </c>
      <c r="G46" s="140" t="s">
        <v>19</v>
      </c>
      <c r="H46" s="140">
        <v>72</v>
      </c>
      <c r="I46" s="140">
        <v>160</v>
      </c>
      <c r="J46" s="140">
        <v>320</v>
      </c>
      <c r="K46" s="140">
        <v>30</v>
      </c>
      <c r="L46" s="140">
        <f t="shared" si="1"/>
        <v>582</v>
      </c>
      <c r="M46" s="140" t="s">
        <v>295</v>
      </c>
      <c r="N46" s="140" t="s">
        <v>118</v>
      </c>
      <c r="O46" s="140" t="s">
        <v>108</v>
      </c>
    </row>
    <row r="47" spans="1:15" ht="60" x14ac:dyDescent="0.3">
      <c r="A47" s="185">
        <v>46</v>
      </c>
      <c r="B47" s="140" t="s">
        <v>15</v>
      </c>
      <c r="C47" s="140" t="s">
        <v>100</v>
      </c>
      <c r="D47" s="140" t="s">
        <v>68</v>
      </c>
      <c r="E47" s="140" t="s">
        <v>18</v>
      </c>
      <c r="F47" s="134" t="s">
        <v>101</v>
      </c>
      <c r="G47" s="140" t="s">
        <v>19</v>
      </c>
      <c r="H47" s="140">
        <v>50</v>
      </c>
      <c r="I47" s="140">
        <v>30</v>
      </c>
      <c r="J47" s="140">
        <v>60</v>
      </c>
      <c r="K47" s="140">
        <v>10</v>
      </c>
      <c r="L47" s="140">
        <f t="shared" si="1"/>
        <v>150</v>
      </c>
      <c r="M47" s="140" t="s">
        <v>58</v>
      </c>
      <c r="N47" s="140" t="s">
        <v>118</v>
      </c>
      <c r="O47" s="140" t="s">
        <v>102</v>
      </c>
    </row>
    <row r="48" spans="1:15" ht="102" customHeight="1" x14ac:dyDescent="0.3">
      <c r="A48" s="185">
        <v>47</v>
      </c>
      <c r="B48" s="140" t="s">
        <v>15</v>
      </c>
      <c r="C48" s="140" t="s">
        <v>109</v>
      </c>
      <c r="D48" s="140" t="s">
        <v>194</v>
      </c>
      <c r="E48" s="140" t="s">
        <v>18</v>
      </c>
      <c r="F48" s="134">
        <v>44994</v>
      </c>
      <c r="G48" s="140" t="s">
        <v>19</v>
      </c>
      <c r="H48" s="140">
        <v>0</v>
      </c>
      <c r="I48" s="140">
        <v>5</v>
      </c>
      <c r="J48" s="140">
        <v>22</v>
      </c>
      <c r="K48" s="140">
        <v>0</v>
      </c>
      <c r="L48" s="140">
        <f t="shared" si="1"/>
        <v>27</v>
      </c>
      <c r="M48" s="140" t="s">
        <v>52</v>
      </c>
      <c r="N48" s="140" t="s">
        <v>118</v>
      </c>
      <c r="O48" s="140" t="s">
        <v>110</v>
      </c>
    </row>
    <row r="49" spans="1:15" s="19" customFormat="1" ht="36" x14ac:dyDescent="0.3">
      <c r="A49" s="185">
        <v>48</v>
      </c>
      <c r="B49" s="18" t="s">
        <v>15</v>
      </c>
      <c r="C49" s="18" t="s">
        <v>124</v>
      </c>
      <c r="D49" s="18" t="s">
        <v>194</v>
      </c>
      <c r="E49" s="18" t="s">
        <v>18</v>
      </c>
      <c r="F49" s="17">
        <v>44995</v>
      </c>
      <c r="G49" s="18" t="s">
        <v>19</v>
      </c>
      <c r="H49" s="22">
        <v>0</v>
      </c>
      <c r="I49" s="22">
        <v>10</v>
      </c>
      <c r="J49" s="18">
        <v>41</v>
      </c>
      <c r="K49" s="18">
        <v>0</v>
      </c>
      <c r="L49" s="18">
        <f t="shared" si="1"/>
        <v>51</v>
      </c>
      <c r="M49" s="18" t="s">
        <v>297</v>
      </c>
      <c r="N49" s="147" t="s">
        <v>118</v>
      </c>
      <c r="O49" s="18" t="s">
        <v>125</v>
      </c>
    </row>
    <row r="50" spans="1:15" s="19" customFormat="1" ht="48" x14ac:dyDescent="0.3">
      <c r="A50" s="185">
        <v>49</v>
      </c>
      <c r="B50" s="18" t="s">
        <v>15</v>
      </c>
      <c r="C50" s="18" t="s">
        <v>140</v>
      </c>
      <c r="D50" s="18" t="s">
        <v>194</v>
      </c>
      <c r="E50" s="18" t="s">
        <v>18</v>
      </c>
      <c r="F50" s="17">
        <v>44996</v>
      </c>
      <c r="G50" s="18" t="s">
        <v>19</v>
      </c>
      <c r="H50" s="22">
        <v>9</v>
      </c>
      <c r="I50" s="22">
        <v>9</v>
      </c>
      <c r="J50" s="18">
        <v>52</v>
      </c>
      <c r="K50" s="18">
        <v>7</v>
      </c>
      <c r="L50" s="18">
        <f t="shared" si="1"/>
        <v>77</v>
      </c>
      <c r="M50" s="18" t="s">
        <v>438</v>
      </c>
      <c r="N50" s="147" t="s">
        <v>118</v>
      </c>
      <c r="O50" s="18" t="s">
        <v>141</v>
      </c>
    </row>
    <row r="51" spans="1:15" s="19" customFormat="1" ht="36" x14ac:dyDescent="0.3">
      <c r="A51" s="185">
        <v>50</v>
      </c>
      <c r="B51" s="18" t="s">
        <v>15</v>
      </c>
      <c r="C51" s="18" t="s">
        <v>138</v>
      </c>
      <c r="D51" s="18" t="s">
        <v>194</v>
      </c>
      <c r="E51" s="18" t="s">
        <v>18</v>
      </c>
      <c r="F51" s="17">
        <v>44997</v>
      </c>
      <c r="G51" s="18" t="s">
        <v>19</v>
      </c>
      <c r="H51" s="22">
        <v>0</v>
      </c>
      <c r="I51" s="162">
        <v>4</v>
      </c>
      <c r="J51" s="34">
        <v>3</v>
      </c>
      <c r="K51" s="34">
        <v>0</v>
      </c>
      <c r="L51" s="18">
        <f t="shared" si="1"/>
        <v>7</v>
      </c>
      <c r="M51" s="18" t="s">
        <v>52</v>
      </c>
      <c r="N51" s="147" t="s">
        <v>118</v>
      </c>
      <c r="O51" s="18" t="s">
        <v>139</v>
      </c>
    </row>
    <row r="52" spans="1:15" s="19" customFormat="1" ht="36" x14ac:dyDescent="0.3">
      <c r="A52" s="185">
        <v>51</v>
      </c>
      <c r="B52" s="147" t="s">
        <v>15</v>
      </c>
      <c r="C52" s="147" t="s">
        <v>132</v>
      </c>
      <c r="D52" s="18" t="s">
        <v>194</v>
      </c>
      <c r="E52" s="18" t="s">
        <v>18</v>
      </c>
      <c r="F52" s="17">
        <v>44999</v>
      </c>
      <c r="G52" s="18" t="s">
        <v>19</v>
      </c>
      <c r="H52" s="143">
        <v>0</v>
      </c>
      <c r="I52" s="162">
        <v>1</v>
      </c>
      <c r="J52" s="34">
        <v>78</v>
      </c>
      <c r="K52" s="34">
        <v>0</v>
      </c>
      <c r="L52" s="18">
        <f t="shared" ref="L52:L83" si="2">SUM(H52:K52)</f>
        <v>79</v>
      </c>
      <c r="M52" s="18" t="s">
        <v>133</v>
      </c>
      <c r="N52" s="147" t="s">
        <v>118</v>
      </c>
      <c r="O52" s="18" t="s">
        <v>134</v>
      </c>
    </row>
    <row r="53" spans="1:15" ht="48" x14ac:dyDescent="0.3">
      <c r="A53" s="185">
        <v>52</v>
      </c>
      <c r="B53" s="147" t="s">
        <v>5</v>
      </c>
      <c r="C53" s="147" t="s">
        <v>122</v>
      </c>
      <c r="D53" s="18" t="s">
        <v>194</v>
      </c>
      <c r="E53" s="18" t="s">
        <v>18</v>
      </c>
      <c r="F53" s="17">
        <v>45000</v>
      </c>
      <c r="G53" s="18" t="s">
        <v>19</v>
      </c>
      <c r="H53" s="143">
        <v>0</v>
      </c>
      <c r="I53" s="162">
        <v>1</v>
      </c>
      <c r="J53" s="34">
        <v>34</v>
      </c>
      <c r="K53" s="34">
        <v>0</v>
      </c>
      <c r="L53" s="147">
        <f t="shared" si="2"/>
        <v>35</v>
      </c>
      <c r="M53" s="147" t="s">
        <v>33</v>
      </c>
      <c r="N53" s="147" t="s">
        <v>118</v>
      </c>
      <c r="O53" s="147" t="s">
        <v>123</v>
      </c>
    </row>
    <row r="54" spans="1:15" s="21" customFormat="1" ht="222.75" customHeight="1" x14ac:dyDescent="0.3">
      <c r="A54" s="185">
        <v>53</v>
      </c>
      <c r="B54" s="147" t="s">
        <v>135</v>
      </c>
      <c r="C54" s="147" t="s">
        <v>136</v>
      </c>
      <c r="D54" s="18" t="s">
        <v>194</v>
      </c>
      <c r="E54" s="18" t="s">
        <v>18</v>
      </c>
      <c r="F54" s="17">
        <v>45000</v>
      </c>
      <c r="G54" s="18" t="s">
        <v>19</v>
      </c>
      <c r="H54" s="143">
        <v>9</v>
      </c>
      <c r="I54" s="162">
        <v>12</v>
      </c>
      <c r="J54" s="34">
        <v>34</v>
      </c>
      <c r="K54" s="34">
        <v>0</v>
      </c>
      <c r="L54" s="147">
        <f t="shared" si="2"/>
        <v>55</v>
      </c>
      <c r="M54" s="147" t="s">
        <v>28</v>
      </c>
      <c r="N54" s="147" t="s">
        <v>118</v>
      </c>
      <c r="O54" s="147" t="s">
        <v>137</v>
      </c>
    </row>
    <row r="55" spans="1:15" ht="48" x14ac:dyDescent="0.3">
      <c r="A55" s="185">
        <v>54</v>
      </c>
      <c r="B55" s="147" t="s">
        <v>93</v>
      </c>
      <c r="C55" s="147" t="s">
        <v>126</v>
      </c>
      <c r="D55" s="18" t="s">
        <v>194</v>
      </c>
      <c r="E55" s="18" t="s">
        <v>18</v>
      </c>
      <c r="F55" s="145">
        <v>45001</v>
      </c>
      <c r="G55" s="18" t="s">
        <v>19</v>
      </c>
      <c r="H55" s="147">
        <v>0</v>
      </c>
      <c r="I55" s="147">
        <v>3</v>
      </c>
      <c r="J55" s="147">
        <v>5</v>
      </c>
      <c r="K55" s="147">
        <v>2</v>
      </c>
      <c r="L55" s="147">
        <f t="shared" si="2"/>
        <v>10</v>
      </c>
      <c r="M55" s="147" t="s">
        <v>298</v>
      </c>
      <c r="N55" s="147" t="s">
        <v>118</v>
      </c>
      <c r="O55" s="147" t="s">
        <v>142</v>
      </c>
    </row>
    <row r="56" spans="1:15" ht="48" x14ac:dyDescent="0.3">
      <c r="A56" s="185">
        <v>55</v>
      </c>
      <c r="B56" s="147" t="s">
        <v>93</v>
      </c>
      <c r="C56" s="147" t="s">
        <v>130</v>
      </c>
      <c r="D56" s="18" t="s">
        <v>194</v>
      </c>
      <c r="E56" s="18" t="s">
        <v>18</v>
      </c>
      <c r="F56" s="145">
        <v>45001</v>
      </c>
      <c r="G56" s="18" t="s">
        <v>19</v>
      </c>
      <c r="H56" s="147">
        <v>0</v>
      </c>
      <c r="I56" s="147">
        <v>0</v>
      </c>
      <c r="J56" s="147">
        <v>10</v>
      </c>
      <c r="K56" s="147">
        <v>0</v>
      </c>
      <c r="L56" s="147">
        <f t="shared" si="2"/>
        <v>10</v>
      </c>
      <c r="M56" s="147" t="s">
        <v>131</v>
      </c>
      <c r="N56" s="147" t="s">
        <v>118</v>
      </c>
      <c r="O56" s="147" t="s">
        <v>143</v>
      </c>
    </row>
    <row r="57" spans="1:15" ht="36" x14ac:dyDescent="0.3">
      <c r="A57" s="185">
        <v>56</v>
      </c>
      <c r="B57" s="140" t="s">
        <v>60</v>
      </c>
      <c r="C57" s="140" t="s">
        <v>111</v>
      </c>
      <c r="D57" s="140" t="s">
        <v>194</v>
      </c>
      <c r="E57" s="140" t="s">
        <v>18</v>
      </c>
      <c r="F57" s="134">
        <v>45002</v>
      </c>
      <c r="G57" s="140" t="s">
        <v>19</v>
      </c>
      <c r="H57" s="140">
        <v>0</v>
      </c>
      <c r="I57" s="140">
        <v>0</v>
      </c>
      <c r="J57" s="140">
        <v>10</v>
      </c>
      <c r="K57" s="140">
        <v>5</v>
      </c>
      <c r="L57" s="140">
        <f t="shared" si="2"/>
        <v>15</v>
      </c>
      <c r="M57" s="140" t="s">
        <v>31</v>
      </c>
      <c r="N57" s="140" t="s">
        <v>118</v>
      </c>
      <c r="O57" s="140" t="s">
        <v>112</v>
      </c>
    </row>
    <row r="58" spans="1:15" s="25" customFormat="1" ht="138.75" customHeight="1" x14ac:dyDescent="0.3">
      <c r="A58" s="185">
        <v>57</v>
      </c>
      <c r="B58" s="140" t="s">
        <v>17</v>
      </c>
      <c r="C58" s="140" t="s">
        <v>147</v>
      </c>
      <c r="D58" s="140" t="s">
        <v>194</v>
      </c>
      <c r="E58" s="140" t="s">
        <v>18</v>
      </c>
      <c r="F58" s="134">
        <v>45003</v>
      </c>
      <c r="G58" s="140" t="s">
        <v>19</v>
      </c>
      <c r="H58" s="140">
        <v>0</v>
      </c>
      <c r="I58" s="24">
        <v>1</v>
      </c>
      <c r="J58" s="140">
        <v>5</v>
      </c>
      <c r="K58" s="140">
        <v>91</v>
      </c>
      <c r="L58" s="140">
        <f t="shared" si="2"/>
        <v>97</v>
      </c>
      <c r="M58" s="140" t="s">
        <v>86</v>
      </c>
      <c r="N58" s="140" t="s">
        <v>118</v>
      </c>
      <c r="O58" s="140" t="s">
        <v>148</v>
      </c>
    </row>
    <row r="59" spans="1:15" s="25" customFormat="1" ht="138.75" customHeight="1" x14ac:dyDescent="0.3">
      <c r="A59" s="185">
        <v>58</v>
      </c>
      <c r="B59" s="140" t="s">
        <v>17</v>
      </c>
      <c r="C59" s="140" t="s">
        <v>150</v>
      </c>
      <c r="D59" s="140" t="s">
        <v>194</v>
      </c>
      <c r="E59" s="140" t="s">
        <v>18</v>
      </c>
      <c r="F59" s="134">
        <v>45006</v>
      </c>
      <c r="G59" s="140" t="s">
        <v>19</v>
      </c>
      <c r="H59" s="140">
        <v>0</v>
      </c>
      <c r="I59" s="24">
        <v>0</v>
      </c>
      <c r="J59" s="140">
        <v>6</v>
      </c>
      <c r="K59" s="140">
        <v>0</v>
      </c>
      <c r="L59" s="140">
        <f t="shared" si="2"/>
        <v>6</v>
      </c>
      <c r="M59" s="140" t="s">
        <v>44</v>
      </c>
      <c r="N59" s="140" t="s">
        <v>118</v>
      </c>
      <c r="O59" s="140" t="s">
        <v>151</v>
      </c>
    </row>
    <row r="60" spans="1:15" s="25" customFormat="1" ht="138.75" customHeight="1" x14ac:dyDescent="0.3">
      <c r="A60" s="185">
        <v>59</v>
      </c>
      <c r="B60" s="140" t="s">
        <v>5</v>
      </c>
      <c r="C60" s="140" t="s">
        <v>152</v>
      </c>
      <c r="D60" s="140" t="s">
        <v>194</v>
      </c>
      <c r="E60" s="140" t="s">
        <v>18</v>
      </c>
      <c r="F60" s="134">
        <v>45007</v>
      </c>
      <c r="G60" s="140" t="s">
        <v>153</v>
      </c>
      <c r="H60" s="140">
        <v>0</v>
      </c>
      <c r="I60" s="24">
        <v>7</v>
      </c>
      <c r="J60" s="140">
        <v>13</v>
      </c>
      <c r="K60" s="140">
        <v>0</v>
      </c>
      <c r="L60" s="140">
        <f t="shared" si="2"/>
        <v>20</v>
      </c>
      <c r="M60" s="140" t="s">
        <v>33</v>
      </c>
      <c r="N60" s="140" t="s">
        <v>118</v>
      </c>
      <c r="O60" s="140" t="s">
        <v>154</v>
      </c>
    </row>
    <row r="61" spans="1:15" ht="88.5" customHeight="1" x14ac:dyDescent="0.3">
      <c r="A61" s="185">
        <v>60</v>
      </c>
      <c r="B61" s="147" t="s">
        <v>15</v>
      </c>
      <c r="C61" s="147" t="s">
        <v>144</v>
      </c>
      <c r="D61" s="140" t="s">
        <v>194</v>
      </c>
      <c r="E61" s="140" t="s">
        <v>18</v>
      </c>
      <c r="F61" s="145">
        <v>45007</v>
      </c>
      <c r="G61" s="140" t="s">
        <v>19</v>
      </c>
      <c r="H61" s="147">
        <v>0</v>
      </c>
      <c r="I61" s="162">
        <v>8</v>
      </c>
      <c r="J61" s="34">
        <v>34</v>
      </c>
      <c r="K61" s="34">
        <v>0</v>
      </c>
      <c r="L61" s="147">
        <f t="shared" si="2"/>
        <v>42</v>
      </c>
      <c r="M61" s="147" t="s">
        <v>58</v>
      </c>
      <c r="N61" s="147" t="s">
        <v>118</v>
      </c>
      <c r="O61" s="147" t="s">
        <v>146</v>
      </c>
    </row>
    <row r="62" spans="1:15" s="25" customFormat="1" ht="36" x14ac:dyDescent="0.3">
      <c r="A62" s="185">
        <v>61</v>
      </c>
      <c r="B62" s="147" t="s">
        <v>93</v>
      </c>
      <c r="C62" s="147" t="s">
        <v>155</v>
      </c>
      <c r="D62" s="140" t="s">
        <v>194</v>
      </c>
      <c r="E62" s="140" t="s">
        <v>18</v>
      </c>
      <c r="F62" s="145">
        <v>45007</v>
      </c>
      <c r="G62" s="140" t="s">
        <v>19</v>
      </c>
      <c r="H62" s="23">
        <v>2</v>
      </c>
      <c r="I62" s="162">
        <v>39</v>
      </c>
      <c r="J62" s="34">
        <v>0</v>
      </c>
      <c r="K62" s="34">
        <v>0</v>
      </c>
      <c r="L62" s="147">
        <f t="shared" si="2"/>
        <v>41</v>
      </c>
      <c r="M62" s="147" t="s">
        <v>34</v>
      </c>
      <c r="N62" s="147" t="s">
        <v>118</v>
      </c>
      <c r="O62" s="147" t="s">
        <v>156</v>
      </c>
    </row>
    <row r="63" spans="1:15" ht="60" x14ac:dyDescent="0.3">
      <c r="A63" s="185">
        <v>62</v>
      </c>
      <c r="B63" s="147" t="s">
        <v>25</v>
      </c>
      <c r="C63" s="147" t="s">
        <v>145</v>
      </c>
      <c r="D63" s="140" t="s">
        <v>194</v>
      </c>
      <c r="E63" s="140" t="s">
        <v>18</v>
      </c>
      <c r="F63" s="145">
        <v>45008</v>
      </c>
      <c r="G63" s="140" t="s">
        <v>19</v>
      </c>
      <c r="H63" s="143">
        <v>0</v>
      </c>
      <c r="I63" s="162">
        <v>3</v>
      </c>
      <c r="J63" s="34">
        <v>17</v>
      </c>
      <c r="K63" s="34">
        <v>0</v>
      </c>
      <c r="L63" s="147">
        <f t="shared" si="2"/>
        <v>20</v>
      </c>
      <c r="M63" s="147" t="s">
        <v>61</v>
      </c>
      <c r="N63" s="147" t="s">
        <v>118</v>
      </c>
      <c r="O63" s="147" t="s">
        <v>149</v>
      </c>
    </row>
    <row r="64" spans="1:15" s="30" customFormat="1" ht="48" x14ac:dyDescent="0.3">
      <c r="A64" s="185">
        <v>63</v>
      </c>
      <c r="B64" s="147" t="s">
        <v>15</v>
      </c>
      <c r="C64" s="147" t="s">
        <v>175</v>
      </c>
      <c r="D64" s="140" t="s">
        <v>194</v>
      </c>
      <c r="E64" s="140" t="s">
        <v>18</v>
      </c>
      <c r="F64" s="145">
        <v>45008</v>
      </c>
      <c r="G64" s="140" t="s">
        <v>19</v>
      </c>
      <c r="H64" s="151">
        <v>0</v>
      </c>
      <c r="I64" s="163">
        <v>7</v>
      </c>
      <c r="J64" s="164">
        <v>39</v>
      </c>
      <c r="K64" s="164">
        <v>0</v>
      </c>
      <c r="L64" s="147">
        <f t="shared" si="2"/>
        <v>46</v>
      </c>
      <c r="M64" s="147" t="s">
        <v>809</v>
      </c>
      <c r="N64" s="147" t="s">
        <v>118</v>
      </c>
      <c r="O64" s="147" t="s">
        <v>599</v>
      </c>
    </row>
    <row r="65" spans="1:15" s="26" customFormat="1" ht="48" x14ac:dyDescent="0.3">
      <c r="A65" s="185">
        <v>64</v>
      </c>
      <c r="B65" s="147" t="s">
        <v>15</v>
      </c>
      <c r="C65" s="147" t="s">
        <v>158</v>
      </c>
      <c r="D65" s="147" t="s">
        <v>194</v>
      </c>
      <c r="E65" s="147" t="s">
        <v>18</v>
      </c>
      <c r="F65" s="145">
        <v>45012</v>
      </c>
      <c r="G65" s="140" t="s">
        <v>48</v>
      </c>
      <c r="H65" s="143">
        <v>0</v>
      </c>
      <c r="I65" s="162">
        <v>3</v>
      </c>
      <c r="J65" s="34">
        <v>41</v>
      </c>
      <c r="K65" s="34">
        <v>0</v>
      </c>
      <c r="L65" s="34">
        <f t="shared" si="2"/>
        <v>44</v>
      </c>
      <c r="M65" s="147" t="s">
        <v>58</v>
      </c>
      <c r="N65" s="140" t="s">
        <v>118</v>
      </c>
      <c r="O65" s="147" t="s">
        <v>159</v>
      </c>
    </row>
    <row r="66" spans="1:15" s="27" customFormat="1" ht="121.5" customHeight="1" x14ac:dyDescent="0.3">
      <c r="A66" s="185">
        <v>65</v>
      </c>
      <c r="B66" s="147" t="s">
        <v>15</v>
      </c>
      <c r="C66" s="147" t="s">
        <v>164</v>
      </c>
      <c r="D66" s="147" t="s">
        <v>194</v>
      </c>
      <c r="E66" s="147" t="s">
        <v>18</v>
      </c>
      <c r="F66" s="145">
        <v>45012</v>
      </c>
      <c r="G66" s="147" t="s">
        <v>19</v>
      </c>
      <c r="H66" s="143">
        <v>115</v>
      </c>
      <c r="I66" s="162">
        <v>120</v>
      </c>
      <c r="J66" s="34">
        <v>230</v>
      </c>
      <c r="K66" s="34">
        <v>30</v>
      </c>
      <c r="L66" s="34">
        <f t="shared" si="2"/>
        <v>495</v>
      </c>
      <c r="M66" s="147" t="s">
        <v>28</v>
      </c>
      <c r="N66" s="140" t="s">
        <v>118</v>
      </c>
      <c r="O66" s="147" t="s">
        <v>163</v>
      </c>
    </row>
    <row r="67" spans="1:15" s="27" customFormat="1" ht="102.75" customHeight="1" x14ac:dyDescent="0.3">
      <c r="A67" s="185">
        <v>66</v>
      </c>
      <c r="B67" s="147" t="s">
        <v>17</v>
      </c>
      <c r="C67" s="147" t="s">
        <v>165</v>
      </c>
      <c r="D67" s="147" t="s">
        <v>194</v>
      </c>
      <c r="E67" s="147" t="s">
        <v>18</v>
      </c>
      <c r="F67" s="145" t="s">
        <v>166</v>
      </c>
      <c r="G67" s="147" t="s">
        <v>167</v>
      </c>
      <c r="H67" s="143">
        <v>0</v>
      </c>
      <c r="I67" s="162">
        <v>4</v>
      </c>
      <c r="J67" s="34">
        <v>14</v>
      </c>
      <c r="K67" s="34">
        <v>1</v>
      </c>
      <c r="L67" s="34">
        <f t="shared" si="2"/>
        <v>19</v>
      </c>
      <c r="M67" s="147" t="s">
        <v>32</v>
      </c>
      <c r="N67" s="140" t="s">
        <v>118</v>
      </c>
      <c r="O67" s="147" t="s">
        <v>168</v>
      </c>
    </row>
    <row r="68" spans="1:15" ht="112.5" customHeight="1" x14ac:dyDescent="0.3">
      <c r="A68" s="185">
        <v>67</v>
      </c>
      <c r="B68" s="147" t="s">
        <v>15</v>
      </c>
      <c r="C68" s="147" t="s">
        <v>109</v>
      </c>
      <c r="D68" s="147" t="s">
        <v>194</v>
      </c>
      <c r="E68" s="147" t="s">
        <v>18</v>
      </c>
      <c r="F68" s="145">
        <v>45015</v>
      </c>
      <c r="G68" s="147" t="s">
        <v>19</v>
      </c>
      <c r="H68" s="147">
        <v>0</v>
      </c>
      <c r="I68" s="147">
        <v>4</v>
      </c>
      <c r="J68" s="147">
        <v>26</v>
      </c>
      <c r="K68" s="147">
        <v>0</v>
      </c>
      <c r="L68" s="147">
        <f t="shared" si="2"/>
        <v>30</v>
      </c>
      <c r="M68" s="147" t="s">
        <v>52</v>
      </c>
      <c r="N68" s="147" t="s">
        <v>118</v>
      </c>
      <c r="O68" s="147" t="s">
        <v>157</v>
      </c>
    </row>
    <row r="69" spans="1:15" ht="265.5" customHeight="1" x14ac:dyDescent="0.3">
      <c r="A69" s="185">
        <v>68</v>
      </c>
      <c r="B69" s="147" t="s">
        <v>135</v>
      </c>
      <c r="C69" s="147" t="s">
        <v>160</v>
      </c>
      <c r="D69" s="147" t="s">
        <v>162</v>
      </c>
      <c r="E69" s="147" t="s">
        <v>18</v>
      </c>
      <c r="F69" s="145">
        <v>45015</v>
      </c>
      <c r="G69" s="147" t="s">
        <v>19</v>
      </c>
      <c r="H69" s="147">
        <v>11</v>
      </c>
      <c r="I69" s="147">
        <v>15</v>
      </c>
      <c r="J69" s="147">
        <v>120</v>
      </c>
      <c r="K69" s="147">
        <v>30</v>
      </c>
      <c r="L69" s="147">
        <f t="shared" si="2"/>
        <v>176</v>
      </c>
      <c r="M69" s="147" t="s">
        <v>34</v>
      </c>
      <c r="N69" s="147" t="s">
        <v>118</v>
      </c>
      <c r="O69" s="147" t="s">
        <v>161</v>
      </c>
    </row>
    <row r="70" spans="1:15" ht="115.5" customHeight="1" x14ac:dyDescent="0.3">
      <c r="A70" s="185">
        <v>69</v>
      </c>
      <c r="B70" s="147" t="s">
        <v>17</v>
      </c>
      <c r="C70" s="147" t="s">
        <v>169</v>
      </c>
      <c r="D70" s="147" t="s">
        <v>194</v>
      </c>
      <c r="E70" s="147" t="s">
        <v>18</v>
      </c>
      <c r="F70" s="145">
        <v>45016</v>
      </c>
      <c r="G70" s="147" t="s">
        <v>19</v>
      </c>
      <c r="H70" s="147">
        <v>1</v>
      </c>
      <c r="I70" s="147">
        <v>0</v>
      </c>
      <c r="J70" s="147">
        <v>14</v>
      </c>
      <c r="K70" s="147">
        <v>2</v>
      </c>
      <c r="L70" s="147">
        <f t="shared" si="2"/>
        <v>17</v>
      </c>
      <c r="M70" s="147" t="s">
        <v>44</v>
      </c>
      <c r="N70" s="147" t="s">
        <v>118</v>
      </c>
      <c r="O70" s="147" t="s">
        <v>170</v>
      </c>
    </row>
    <row r="71" spans="1:15" s="29" customFormat="1" ht="115.5" customHeight="1" x14ac:dyDescent="0.3">
      <c r="A71" s="185">
        <v>70</v>
      </c>
      <c r="B71" s="147" t="s">
        <v>135</v>
      </c>
      <c r="C71" s="147" t="s">
        <v>172</v>
      </c>
      <c r="D71" s="147" t="s">
        <v>173</v>
      </c>
      <c r="E71" s="147" t="s">
        <v>18</v>
      </c>
      <c r="F71" s="145" t="s">
        <v>171</v>
      </c>
      <c r="G71" s="147" t="s">
        <v>231</v>
      </c>
      <c r="H71" s="147">
        <v>0</v>
      </c>
      <c r="I71" s="147">
        <v>0</v>
      </c>
      <c r="J71" s="147">
        <v>5</v>
      </c>
      <c r="K71" s="147">
        <v>0</v>
      </c>
      <c r="L71" s="147">
        <f t="shared" si="2"/>
        <v>5</v>
      </c>
      <c r="M71" s="147" t="s">
        <v>28</v>
      </c>
      <c r="N71" s="147" t="s">
        <v>1</v>
      </c>
      <c r="O71" s="147" t="s">
        <v>174</v>
      </c>
    </row>
    <row r="72" spans="1:15" s="30" customFormat="1" ht="36" x14ac:dyDescent="0.3">
      <c r="A72" s="185">
        <v>71</v>
      </c>
      <c r="B72" s="57" t="s">
        <v>15</v>
      </c>
      <c r="C72" s="165" t="s">
        <v>196</v>
      </c>
      <c r="D72" s="56" t="s">
        <v>194</v>
      </c>
      <c r="E72" s="56" t="s">
        <v>198</v>
      </c>
      <c r="F72" s="55" t="s">
        <v>195</v>
      </c>
      <c r="G72" s="56" t="s">
        <v>197</v>
      </c>
      <c r="H72" s="72">
        <v>0</v>
      </c>
      <c r="I72" s="72">
        <v>0</v>
      </c>
      <c r="J72" s="72">
        <v>10</v>
      </c>
      <c r="K72" s="72">
        <v>1</v>
      </c>
      <c r="L72" s="72">
        <f t="shared" si="2"/>
        <v>11</v>
      </c>
      <c r="M72" s="72" t="s">
        <v>131</v>
      </c>
      <c r="N72" s="140" t="s">
        <v>118</v>
      </c>
      <c r="O72" s="37" t="s">
        <v>199</v>
      </c>
    </row>
    <row r="73" spans="1:15" s="59" customFormat="1" ht="115.5" customHeight="1" x14ac:dyDescent="0.3">
      <c r="A73" s="185">
        <v>72</v>
      </c>
      <c r="B73" s="38" t="s">
        <v>17</v>
      </c>
      <c r="C73" s="38" t="s">
        <v>336</v>
      </c>
      <c r="D73" s="56" t="s">
        <v>194</v>
      </c>
      <c r="E73" s="56" t="s">
        <v>198</v>
      </c>
      <c r="F73" s="89" t="s">
        <v>859</v>
      </c>
      <c r="G73" s="147" t="s">
        <v>331</v>
      </c>
      <c r="H73" s="147">
        <v>15</v>
      </c>
      <c r="I73" s="162">
        <v>120</v>
      </c>
      <c r="J73" s="34">
        <v>309</v>
      </c>
      <c r="K73" s="34">
        <v>34</v>
      </c>
      <c r="L73" s="147">
        <f t="shared" si="2"/>
        <v>478</v>
      </c>
      <c r="M73" s="147" t="s">
        <v>366</v>
      </c>
      <c r="N73" s="147" t="s">
        <v>118</v>
      </c>
      <c r="O73" s="58" t="s">
        <v>338</v>
      </c>
    </row>
    <row r="74" spans="1:15" ht="36" x14ac:dyDescent="0.3">
      <c r="A74" s="185">
        <v>73</v>
      </c>
      <c r="B74" s="28" t="s">
        <v>15</v>
      </c>
      <c r="C74" s="147" t="s">
        <v>176</v>
      </c>
      <c r="D74" s="147" t="s">
        <v>194</v>
      </c>
      <c r="E74" s="147" t="s">
        <v>18</v>
      </c>
      <c r="F74" s="145">
        <v>45022</v>
      </c>
      <c r="G74" s="147" t="s">
        <v>19</v>
      </c>
      <c r="H74" s="147">
        <v>0</v>
      </c>
      <c r="I74" s="147">
        <v>3</v>
      </c>
      <c r="J74" s="147">
        <v>8</v>
      </c>
      <c r="K74" s="147">
        <v>0</v>
      </c>
      <c r="L74" s="147">
        <f t="shared" si="2"/>
        <v>11</v>
      </c>
      <c r="M74" s="147" t="s">
        <v>52</v>
      </c>
      <c r="N74" s="147" t="s">
        <v>118</v>
      </c>
      <c r="O74" s="147" t="s">
        <v>179</v>
      </c>
    </row>
    <row r="75" spans="1:15" ht="60" x14ac:dyDescent="0.3">
      <c r="A75" s="185">
        <v>74</v>
      </c>
      <c r="B75" s="147" t="s">
        <v>135</v>
      </c>
      <c r="C75" s="147" t="s">
        <v>177</v>
      </c>
      <c r="D75" s="147" t="s">
        <v>194</v>
      </c>
      <c r="E75" s="147" t="s">
        <v>18</v>
      </c>
      <c r="F75" s="145">
        <v>45023</v>
      </c>
      <c r="G75" s="147" t="s">
        <v>19</v>
      </c>
      <c r="H75" s="147">
        <v>6</v>
      </c>
      <c r="I75" s="147">
        <v>38</v>
      </c>
      <c r="J75" s="147">
        <v>49</v>
      </c>
      <c r="K75" s="147">
        <v>2</v>
      </c>
      <c r="L75" s="147">
        <f t="shared" si="2"/>
        <v>95</v>
      </c>
      <c r="M75" s="147" t="s">
        <v>28</v>
      </c>
      <c r="N75" s="147" t="s">
        <v>118</v>
      </c>
      <c r="O75" s="147" t="s">
        <v>178</v>
      </c>
    </row>
    <row r="76" spans="1:15" ht="126" customHeight="1" x14ac:dyDescent="0.3">
      <c r="A76" s="185">
        <v>75</v>
      </c>
      <c r="B76" s="147" t="s">
        <v>93</v>
      </c>
      <c r="C76" s="147" t="s">
        <v>184</v>
      </c>
      <c r="D76" s="147" t="s">
        <v>194</v>
      </c>
      <c r="E76" s="147" t="s">
        <v>18</v>
      </c>
      <c r="F76" s="145">
        <v>45027</v>
      </c>
      <c r="G76" s="34" t="s">
        <v>19</v>
      </c>
      <c r="H76" s="147">
        <v>0</v>
      </c>
      <c r="I76" s="147">
        <v>48</v>
      </c>
      <c r="J76" s="147">
        <v>152</v>
      </c>
      <c r="K76" s="147">
        <v>0</v>
      </c>
      <c r="L76" s="147">
        <f t="shared" si="2"/>
        <v>200</v>
      </c>
      <c r="M76" s="147" t="s">
        <v>28</v>
      </c>
      <c r="N76" s="147" t="s">
        <v>118</v>
      </c>
      <c r="O76" s="147" t="s">
        <v>185</v>
      </c>
    </row>
    <row r="77" spans="1:15" s="30" customFormat="1" ht="36" x14ac:dyDescent="0.3">
      <c r="A77" s="185">
        <v>76</v>
      </c>
      <c r="B77" s="147" t="s">
        <v>187</v>
      </c>
      <c r="C77" s="147" t="s">
        <v>189</v>
      </c>
      <c r="D77" s="147" t="s">
        <v>193</v>
      </c>
      <c r="E77" s="147" t="s">
        <v>18</v>
      </c>
      <c r="F77" s="145">
        <v>45027</v>
      </c>
      <c r="G77" s="147" t="s">
        <v>332</v>
      </c>
      <c r="H77" s="143">
        <v>0</v>
      </c>
      <c r="I77" s="162">
        <v>0</v>
      </c>
      <c r="J77" s="34">
        <v>6</v>
      </c>
      <c r="K77" s="34">
        <v>0</v>
      </c>
      <c r="L77" s="34">
        <f t="shared" si="2"/>
        <v>6</v>
      </c>
      <c r="M77" s="147" t="s">
        <v>49</v>
      </c>
      <c r="N77" s="147" t="s">
        <v>891</v>
      </c>
      <c r="O77" s="147" t="s">
        <v>603</v>
      </c>
    </row>
    <row r="78" spans="1:15" s="30" customFormat="1" ht="48" x14ac:dyDescent="0.3">
      <c r="A78" s="185">
        <v>77</v>
      </c>
      <c r="B78" s="66" t="s">
        <v>15</v>
      </c>
      <c r="C78" s="66" t="s">
        <v>190</v>
      </c>
      <c r="D78" s="66" t="s">
        <v>194</v>
      </c>
      <c r="E78" s="147" t="s">
        <v>18</v>
      </c>
      <c r="F78" s="82">
        <v>45027</v>
      </c>
      <c r="G78" s="66" t="s">
        <v>19</v>
      </c>
      <c r="H78" s="143">
        <v>0</v>
      </c>
      <c r="I78" s="167">
        <v>6</v>
      </c>
      <c r="J78" s="166">
        <v>11</v>
      </c>
      <c r="K78" s="166">
        <v>0</v>
      </c>
      <c r="L78" s="166">
        <f t="shared" si="2"/>
        <v>17</v>
      </c>
      <c r="M78" s="140" t="s">
        <v>52</v>
      </c>
      <c r="N78" s="140" t="s">
        <v>118</v>
      </c>
      <c r="O78" s="66" t="s">
        <v>191</v>
      </c>
    </row>
    <row r="79" spans="1:15" ht="273.75" customHeight="1" x14ac:dyDescent="0.3">
      <c r="A79" s="185">
        <v>78</v>
      </c>
      <c r="B79" s="147" t="s">
        <v>36</v>
      </c>
      <c r="C79" s="147" t="s">
        <v>186</v>
      </c>
      <c r="D79" s="147" t="s">
        <v>194</v>
      </c>
      <c r="E79" s="147" t="s">
        <v>18</v>
      </c>
      <c r="F79" s="145">
        <v>45028</v>
      </c>
      <c r="G79" s="34" t="s">
        <v>19</v>
      </c>
      <c r="H79" s="147">
        <v>35</v>
      </c>
      <c r="I79" s="147">
        <v>30</v>
      </c>
      <c r="J79" s="147">
        <v>150</v>
      </c>
      <c r="K79" s="147">
        <v>0</v>
      </c>
      <c r="L79" s="147">
        <f t="shared" si="2"/>
        <v>215</v>
      </c>
      <c r="M79" s="147" t="s">
        <v>28</v>
      </c>
      <c r="N79" s="147" t="s">
        <v>118</v>
      </c>
      <c r="O79" s="147" t="s">
        <v>200</v>
      </c>
    </row>
    <row r="80" spans="1:15" s="35" customFormat="1" ht="72" x14ac:dyDescent="0.3">
      <c r="A80" s="185">
        <v>79</v>
      </c>
      <c r="B80" s="147" t="s">
        <v>93</v>
      </c>
      <c r="C80" s="147" t="s">
        <v>183</v>
      </c>
      <c r="D80" s="147" t="s">
        <v>194</v>
      </c>
      <c r="E80" s="147" t="s">
        <v>18</v>
      </c>
      <c r="F80" s="145">
        <v>45029</v>
      </c>
      <c r="G80" s="34" t="s">
        <v>19</v>
      </c>
      <c r="H80" s="147">
        <v>15</v>
      </c>
      <c r="I80" s="147">
        <v>37</v>
      </c>
      <c r="J80" s="147">
        <v>152</v>
      </c>
      <c r="K80" s="147">
        <v>0</v>
      </c>
      <c r="L80" s="147">
        <f t="shared" si="2"/>
        <v>204</v>
      </c>
      <c r="M80" s="147" t="s">
        <v>28</v>
      </c>
      <c r="N80" s="147" t="s">
        <v>118</v>
      </c>
      <c r="O80" s="147" t="s">
        <v>201</v>
      </c>
    </row>
    <row r="81" spans="1:16" s="36" customFormat="1" ht="36" x14ac:dyDescent="0.2">
      <c r="A81" s="185">
        <v>80</v>
      </c>
      <c r="B81" s="147" t="s">
        <v>187</v>
      </c>
      <c r="C81" s="147" t="s">
        <v>188</v>
      </c>
      <c r="D81" s="147" t="s">
        <v>192</v>
      </c>
      <c r="E81" s="147" t="s">
        <v>18</v>
      </c>
      <c r="F81" s="145">
        <v>45030</v>
      </c>
      <c r="G81" s="34" t="s">
        <v>19</v>
      </c>
      <c r="H81" s="143">
        <v>0</v>
      </c>
      <c r="I81" s="162">
        <v>0</v>
      </c>
      <c r="J81" s="34">
        <v>4</v>
      </c>
      <c r="K81" s="34">
        <v>0</v>
      </c>
      <c r="L81" s="34">
        <f t="shared" si="2"/>
        <v>4</v>
      </c>
      <c r="M81" s="147" t="s">
        <v>49</v>
      </c>
      <c r="N81" s="147" t="s">
        <v>891</v>
      </c>
      <c r="O81" s="147" t="s">
        <v>202</v>
      </c>
    </row>
    <row r="82" spans="1:16" ht="36" x14ac:dyDescent="0.3">
      <c r="A82" s="185">
        <v>81</v>
      </c>
      <c r="B82" s="147" t="s">
        <v>93</v>
      </c>
      <c r="C82" s="147" t="s">
        <v>203</v>
      </c>
      <c r="D82" s="147" t="str">
        <f t="shared" ref="D82:D86" si="3">$D$80</f>
        <v>Вузовский</v>
      </c>
      <c r="E82" s="147" t="s">
        <v>18</v>
      </c>
      <c r="F82" s="145">
        <v>45033</v>
      </c>
      <c r="G82" s="34" t="s">
        <v>19</v>
      </c>
      <c r="H82" s="147">
        <v>0</v>
      </c>
      <c r="I82" s="147">
        <v>4</v>
      </c>
      <c r="J82" s="147">
        <v>12</v>
      </c>
      <c r="K82" s="147">
        <v>0</v>
      </c>
      <c r="L82" s="147">
        <f t="shared" si="2"/>
        <v>16</v>
      </c>
      <c r="M82" s="147" t="s">
        <v>30</v>
      </c>
      <c r="N82" s="147" t="s">
        <v>118</v>
      </c>
      <c r="O82" s="147" t="s">
        <v>204</v>
      </c>
    </row>
    <row r="83" spans="1:16" ht="96" x14ac:dyDescent="0.3">
      <c r="A83" s="185">
        <v>82</v>
      </c>
      <c r="B83" s="147" t="s">
        <v>15</v>
      </c>
      <c r="C83" s="147" t="s">
        <v>205</v>
      </c>
      <c r="D83" s="147" t="str">
        <f t="shared" si="3"/>
        <v>Вузовский</v>
      </c>
      <c r="E83" s="147" t="s">
        <v>18</v>
      </c>
      <c r="F83" s="145">
        <v>45034</v>
      </c>
      <c r="G83" s="34" t="s">
        <v>19</v>
      </c>
      <c r="H83" s="147">
        <v>9</v>
      </c>
      <c r="I83" s="147">
        <v>25</v>
      </c>
      <c r="J83" s="147">
        <v>45</v>
      </c>
      <c r="K83" s="147">
        <v>0</v>
      </c>
      <c r="L83" s="147">
        <f t="shared" si="2"/>
        <v>79</v>
      </c>
      <c r="M83" s="147" t="s">
        <v>28</v>
      </c>
      <c r="N83" s="147" t="s">
        <v>118</v>
      </c>
      <c r="O83" s="147" t="s">
        <v>206</v>
      </c>
    </row>
    <row r="84" spans="1:16" s="30" customFormat="1" ht="48" x14ac:dyDescent="0.3">
      <c r="A84" s="185">
        <v>83</v>
      </c>
      <c r="B84" s="147" t="s">
        <v>15</v>
      </c>
      <c r="C84" s="147" t="s">
        <v>216</v>
      </c>
      <c r="D84" s="147" t="str">
        <f t="shared" si="3"/>
        <v>Вузовский</v>
      </c>
      <c r="E84" s="147" t="s">
        <v>18</v>
      </c>
      <c r="F84" s="145">
        <v>45034</v>
      </c>
      <c r="G84" s="34" t="s">
        <v>19</v>
      </c>
      <c r="H84" s="147">
        <v>0</v>
      </c>
      <c r="I84" s="147">
        <v>5</v>
      </c>
      <c r="J84" s="147">
        <v>27</v>
      </c>
      <c r="K84" s="147">
        <v>0</v>
      </c>
      <c r="L84" s="147">
        <f t="shared" ref="L84:L115" si="4">SUM(H84:K84)</f>
        <v>32</v>
      </c>
      <c r="M84" s="147" t="s">
        <v>353</v>
      </c>
      <c r="N84" s="147" t="s">
        <v>118</v>
      </c>
      <c r="O84" s="147" t="s">
        <v>217</v>
      </c>
    </row>
    <row r="85" spans="1:16" ht="36" x14ac:dyDescent="0.3">
      <c r="A85" s="185">
        <v>84</v>
      </c>
      <c r="B85" s="147" t="s">
        <v>93</v>
      </c>
      <c r="C85" s="147" t="s">
        <v>207</v>
      </c>
      <c r="D85" s="147" t="str">
        <f t="shared" si="3"/>
        <v>Вузовский</v>
      </c>
      <c r="E85" s="147" t="s">
        <v>18</v>
      </c>
      <c r="F85" s="145">
        <v>45035</v>
      </c>
      <c r="G85" s="34" t="s">
        <v>19</v>
      </c>
      <c r="H85" s="147">
        <v>3</v>
      </c>
      <c r="I85" s="147">
        <v>20</v>
      </c>
      <c r="J85" s="147">
        <v>37</v>
      </c>
      <c r="K85" s="147">
        <v>0</v>
      </c>
      <c r="L85" s="147">
        <f t="shared" si="4"/>
        <v>60</v>
      </c>
      <c r="M85" s="147" t="s">
        <v>49</v>
      </c>
      <c r="N85" s="147" t="s">
        <v>118</v>
      </c>
      <c r="O85" s="147" t="s">
        <v>208</v>
      </c>
    </row>
    <row r="86" spans="1:16" ht="120" x14ac:dyDescent="0.3">
      <c r="A86" s="185">
        <v>85</v>
      </c>
      <c r="B86" s="147" t="s">
        <v>36</v>
      </c>
      <c r="C86" s="147" t="s">
        <v>209</v>
      </c>
      <c r="D86" s="147" t="str">
        <f t="shared" si="3"/>
        <v>Вузовский</v>
      </c>
      <c r="E86" s="147" t="s">
        <v>18</v>
      </c>
      <c r="F86" s="145">
        <v>45035</v>
      </c>
      <c r="G86" s="34" t="s">
        <v>19</v>
      </c>
      <c r="H86" s="147">
        <v>5</v>
      </c>
      <c r="I86" s="147">
        <v>35</v>
      </c>
      <c r="J86" s="147">
        <v>32</v>
      </c>
      <c r="K86" s="147">
        <v>0</v>
      </c>
      <c r="L86" s="147">
        <f t="shared" si="4"/>
        <v>72</v>
      </c>
      <c r="M86" s="147" t="s">
        <v>28</v>
      </c>
      <c r="N86" s="147" t="s">
        <v>118</v>
      </c>
      <c r="O86" s="147" t="s">
        <v>215</v>
      </c>
    </row>
    <row r="87" spans="1:16" ht="84" x14ac:dyDescent="0.3">
      <c r="A87" s="185">
        <v>86</v>
      </c>
      <c r="B87" s="147" t="s">
        <v>36</v>
      </c>
      <c r="C87" s="147" t="s">
        <v>210</v>
      </c>
      <c r="D87" s="147" t="s">
        <v>173</v>
      </c>
      <c r="E87" s="147" t="s">
        <v>18</v>
      </c>
      <c r="F87" s="145" t="s">
        <v>212</v>
      </c>
      <c r="G87" s="147" t="s">
        <v>167</v>
      </c>
      <c r="H87" s="147">
        <v>2</v>
      </c>
      <c r="I87" s="147">
        <v>10</v>
      </c>
      <c r="J87" s="147">
        <v>0</v>
      </c>
      <c r="K87" s="147">
        <v>0</v>
      </c>
      <c r="L87" s="147">
        <f t="shared" si="4"/>
        <v>12</v>
      </c>
      <c r="M87" s="147" t="s">
        <v>28</v>
      </c>
      <c r="N87" s="147" t="s">
        <v>1</v>
      </c>
      <c r="O87" s="147" t="s">
        <v>211</v>
      </c>
    </row>
    <row r="88" spans="1:16" ht="36" x14ac:dyDescent="0.3">
      <c r="A88" s="185">
        <v>87</v>
      </c>
      <c r="B88" s="147" t="s">
        <v>15</v>
      </c>
      <c r="C88" s="147" t="s">
        <v>213</v>
      </c>
      <c r="D88" s="147" t="str">
        <f>$D$80</f>
        <v>Вузовский</v>
      </c>
      <c r="E88" s="147" t="s">
        <v>18</v>
      </c>
      <c r="F88" s="145">
        <v>45036</v>
      </c>
      <c r="G88" s="34" t="s">
        <v>19</v>
      </c>
      <c r="H88" s="147">
        <v>1</v>
      </c>
      <c r="I88" s="147">
        <v>0</v>
      </c>
      <c r="J88" s="147">
        <v>12</v>
      </c>
      <c r="K88" s="147">
        <v>0</v>
      </c>
      <c r="L88" s="147">
        <f t="shared" si="4"/>
        <v>13</v>
      </c>
      <c r="M88" s="186" t="s">
        <v>809</v>
      </c>
      <c r="N88" s="147" t="s">
        <v>118</v>
      </c>
      <c r="O88" s="147" t="s">
        <v>214</v>
      </c>
    </row>
    <row r="89" spans="1:16" ht="84" x14ac:dyDescent="0.3">
      <c r="A89" s="185">
        <v>88</v>
      </c>
      <c r="B89" s="147" t="s">
        <v>15</v>
      </c>
      <c r="C89" s="147" t="s">
        <v>218</v>
      </c>
      <c r="D89" s="147" t="str">
        <f>$D$80</f>
        <v>Вузовский</v>
      </c>
      <c r="E89" s="34" t="s">
        <v>18</v>
      </c>
      <c r="F89" s="145">
        <v>45038</v>
      </c>
      <c r="G89" s="147" t="s">
        <v>19</v>
      </c>
      <c r="H89" s="147">
        <v>0</v>
      </c>
      <c r="I89" s="147">
        <v>0</v>
      </c>
      <c r="J89" s="147">
        <v>8</v>
      </c>
      <c r="K89" s="147">
        <v>2</v>
      </c>
      <c r="L89" s="147">
        <f t="shared" si="4"/>
        <v>10</v>
      </c>
      <c r="M89" s="147" t="s">
        <v>293</v>
      </c>
      <c r="N89" s="147" t="s">
        <v>118</v>
      </c>
      <c r="O89" s="147" t="s">
        <v>219</v>
      </c>
    </row>
    <row r="90" spans="1:16" s="39" customFormat="1" ht="36" x14ac:dyDescent="0.3">
      <c r="A90" s="185">
        <v>89</v>
      </c>
      <c r="B90" s="147" t="s">
        <v>113</v>
      </c>
      <c r="C90" s="147" t="s">
        <v>225</v>
      </c>
      <c r="D90" s="147" t="s">
        <v>193</v>
      </c>
      <c r="E90" s="34" t="s">
        <v>18</v>
      </c>
      <c r="F90" s="145" t="s">
        <v>226</v>
      </c>
      <c r="G90" s="140" t="s">
        <v>19</v>
      </c>
      <c r="H90" s="147">
        <v>0</v>
      </c>
      <c r="I90" s="147">
        <v>12</v>
      </c>
      <c r="J90" s="147">
        <v>23</v>
      </c>
      <c r="K90" s="147">
        <v>0</v>
      </c>
      <c r="L90" s="147">
        <f t="shared" si="4"/>
        <v>35</v>
      </c>
      <c r="M90" s="147" t="s">
        <v>49</v>
      </c>
      <c r="N90" s="147" t="s">
        <v>891</v>
      </c>
      <c r="O90" s="147" t="s">
        <v>892</v>
      </c>
    </row>
    <row r="91" spans="1:16" ht="132" x14ac:dyDescent="0.3">
      <c r="A91" s="185">
        <v>90</v>
      </c>
      <c r="B91" s="147" t="s">
        <v>25</v>
      </c>
      <c r="C91" s="147" t="s">
        <v>180</v>
      </c>
      <c r="D91" s="147" t="s">
        <v>220</v>
      </c>
      <c r="E91" s="147" t="s">
        <v>18</v>
      </c>
      <c r="F91" s="145" t="s">
        <v>860</v>
      </c>
      <c r="G91" s="147" t="s">
        <v>167</v>
      </c>
      <c r="H91" s="40">
        <v>40</v>
      </c>
      <c r="I91" s="40">
        <v>0</v>
      </c>
      <c r="J91" s="40">
        <v>95</v>
      </c>
      <c r="K91" s="40">
        <v>15</v>
      </c>
      <c r="L91" s="40">
        <f t="shared" si="4"/>
        <v>150</v>
      </c>
      <c r="M91" s="147" t="s">
        <v>181</v>
      </c>
      <c r="N91" s="147" t="s">
        <v>118</v>
      </c>
      <c r="O91" s="147" t="s">
        <v>221</v>
      </c>
      <c r="P91" s="6"/>
    </row>
    <row r="92" spans="1:16" s="41" customFormat="1" ht="244.5" customHeight="1" x14ac:dyDescent="0.3">
      <c r="A92" s="185">
        <v>91</v>
      </c>
      <c r="B92" s="147" t="s">
        <v>38</v>
      </c>
      <c r="C92" s="147" t="s">
        <v>230</v>
      </c>
      <c r="D92" s="147" t="s">
        <v>3</v>
      </c>
      <c r="E92" s="147" t="s">
        <v>18</v>
      </c>
      <c r="F92" s="145">
        <v>45042</v>
      </c>
      <c r="G92" s="147" t="s">
        <v>231</v>
      </c>
      <c r="H92" s="147">
        <v>0</v>
      </c>
      <c r="I92" s="147">
        <v>0</v>
      </c>
      <c r="J92" s="147">
        <v>19</v>
      </c>
      <c r="K92" s="147">
        <v>0</v>
      </c>
      <c r="L92" s="147">
        <f t="shared" si="4"/>
        <v>19</v>
      </c>
      <c r="M92" s="147" t="s">
        <v>28</v>
      </c>
      <c r="N92" s="147" t="s">
        <v>1</v>
      </c>
      <c r="O92" s="147" t="s">
        <v>232</v>
      </c>
    </row>
    <row r="93" spans="1:16" ht="108" x14ac:dyDescent="0.3">
      <c r="A93" s="185">
        <v>92</v>
      </c>
      <c r="B93" s="147" t="s">
        <v>222</v>
      </c>
      <c r="C93" s="147" t="s">
        <v>223</v>
      </c>
      <c r="D93" s="147" t="s">
        <v>193</v>
      </c>
      <c r="E93" s="147" t="s">
        <v>18</v>
      </c>
      <c r="F93" s="145" t="s">
        <v>861</v>
      </c>
      <c r="G93" s="147" t="s">
        <v>326</v>
      </c>
      <c r="H93" s="147">
        <v>2</v>
      </c>
      <c r="I93" s="147">
        <v>5</v>
      </c>
      <c r="J93" s="147">
        <v>16</v>
      </c>
      <c r="K93" s="147">
        <v>1</v>
      </c>
      <c r="L93" s="147">
        <f t="shared" si="4"/>
        <v>24</v>
      </c>
      <c r="M93" s="147" t="s">
        <v>366</v>
      </c>
      <c r="N93" s="147" t="s">
        <v>1</v>
      </c>
      <c r="O93" s="147" t="s">
        <v>224</v>
      </c>
    </row>
    <row r="94" spans="1:16" s="41" customFormat="1" ht="156" x14ac:dyDescent="0.3">
      <c r="A94" s="185">
        <v>93</v>
      </c>
      <c r="B94" s="147" t="s">
        <v>36</v>
      </c>
      <c r="C94" s="147" t="s">
        <v>228</v>
      </c>
      <c r="D94" s="147" t="s">
        <v>194</v>
      </c>
      <c r="E94" s="147" t="s">
        <v>18</v>
      </c>
      <c r="F94" s="145">
        <v>45043</v>
      </c>
      <c r="G94" s="147" t="s">
        <v>19</v>
      </c>
      <c r="H94" s="147">
        <v>10</v>
      </c>
      <c r="I94" s="147">
        <v>150</v>
      </c>
      <c r="J94" s="147">
        <v>200</v>
      </c>
      <c r="K94" s="147">
        <v>0</v>
      </c>
      <c r="L94" s="147">
        <f t="shared" si="4"/>
        <v>360</v>
      </c>
      <c r="M94" s="147" t="s">
        <v>28</v>
      </c>
      <c r="N94" s="147" t="s">
        <v>118</v>
      </c>
      <c r="O94" s="147" t="s">
        <v>229</v>
      </c>
    </row>
    <row r="95" spans="1:16" ht="36" x14ac:dyDescent="0.3">
      <c r="A95" s="185">
        <v>94</v>
      </c>
      <c r="B95" s="147" t="s">
        <v>113</v>
      </c>
      <c r="C95" s="147" t="s">
        <v>227</v>
      </c>
      <c r="D95" s="147" t="s">
        <v>3</v>
      </c>
      <c r="E95" s="147" t="s">
        <v>18</v>
      </c>
      <c r="F95" s="145">
        <v>45044</v>
      </c>
      <c r="G95" s="147" t="s">
        <v>19</v>
      </c>
      <c r="H95" s="147">
        <v>0</v>
      </c>
      <c r="I95" s="147">
        <v>0</v>
      </c>
      <c r="J95" s="147">
        <v>5</v>
      </c>
      <c r="K95" s="147">
        <v>0</v>
      </c>
      <c r="L95" s="147">
        <f t="shared" si="4"/>
        <v>5</v>
      </c>
      <c r="M95" s="147" t="s">
        <v>49</v>
      </c>
      <c r="N95" s="147" t="s">
        <v>891</v>
      </c>
      <c r="O95" s="147" t="s">
        <v>893</v>
      </c>
    </row>
    <row r="96" spans="1:16" s="46" customFormat="1" ht="84" x14ac:dyDescent="0.3">
      <c r="A96" s="185">
        <v>95</v>
      </c>
      <c r="B96" s="147" t="s">
        <v>269</v>
      </c>
      <c r="C96" s="147" t="s">
        <v>270</v>
      </c>
      <c r="D96" s="147" t="s">
        <v>194</v>
      </c>
      <c r="E96" s="147" t="s">
        <v>18</v>
      </c>
      <c r="F96" s="145">
        <v>45044</v>
      </c>
      <c r="G96" s="147" t="s">
        <v>19</v>
      </c>
      <c r="H96" s="147">
        <v>0</v>
      </c>
      <c r="I96" s="147">
        <v>0</v>
      </c>
      <c r="J96" s="147">
        <v>19</v>
      </c>
      <c r="K96" s="147">
        <v>0</v>
      </c>
      <c r="L96" s="147">
        <f t="shared" si="4"/>
        <v>19</v>
      </c>
      <c r="M96" s="140" t="s">
        <v>294</v>
      </c>
      <c r="N96" s="147" t="s">
        <v>118</v>
      </c>
      <c r="O96" s="147" t="s">
        <v>271</v>
      </c>
    </row>
    <row r="97" spans="1:141" s="46" customFormat="1" ht="75.75" customHeight="1" x14ac:dyDescent="0.3">
      <c r="A97" s="185">
        <v>96</v>
      </c>
      <c r="B97" s="147" t="s">
        <v>135</v>
      </c>
      <c r="C97" s="52" t="s">
        <v>604</v>
      </c>
      <c r="D97" s="52" t="s">
        <v>162</v>
      </c>
      <c r="E97" s="147" t="s">
        <v>18</v>
      </c>
      <c r="F97" s="145" t="s">
        <v>862</v>
      </c>
      <c r="G97" s="52" t="s">
        <v>19</v>
      </c>
      <c r="H97" s="147">
        <v>0</v>
      </c>
      <c r="I97" s="147">
        <v>55</v>
      </c>
      <c r="J97" s="147">
        <v>135</v>
      </c>
      <c r="K97" s="147">
        <v>0</v>
      </c>
      <c r="L97" s="147">
        <f t="shared" si="4"/>
        <v>190</v>
      </c>
      <c r="M97" s="147" t="s">
        <v>41</v>
      </c>
      <c r="N97" s="147" t="s">
        <v>118</v>
      </c>
      <c r="O97" s="52" t="s">
        <v>233</v>
      </c>
    </row>
    <row r="98" spans="1:141" s="46" customFormat="1" ht="108" x14ac:dyDescent="0.3">
      <c r="A98" s="185">
        <v>97</v>
      </c>
      <c r="B98" s="147" t="s">
        <v>15</v>
      </c>
      <c r="C98" s="48" t="s">
        <v>241</v>
      </c>
      <c r="D98" s="48" t="s">
        <v>173</v>
      </c>
      <c r="E98" s="147" t="s">
        <v>18</v>
      </c>
      <c r="F98" s="145" t="s">
        <v>863</v>
      </c>
      <c r="G98" s="147" t="s">
        <v>167</v>
      </c>
      <c r="H98" s="147">
        <v>0</v>
      </c>
      <c r="I98" s="147">
        <v>0</v>
      </c>
      <c r="J98" s="147">
        <v>3</v>
      </c>
      <c r="K98" s="147">
        <v>0</v>
      </c>
      <c r="L98" s="147">
        <f t="shared" si="4"/>
        <v>3</v>
      </c>
      <c r="M98" s="147" t="s">
        <v>28</v>
      </c>
      <c r="N98" s="147" t="s">
        <v>1</v>
      </c>
      <c r="O98" s="48" t="s">
        <v>236</v>
      </c>
      <c r="P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row>
    <row r="99" spans="1:141" s="45" customFormat="1" ht="150" customHeight="1" x14ac:dyDescent="0.3">
      <c r="A99" s="185">
        <v>98</v>
      </c>
      <c r="B99" s="147" t="s">
        <v>15</v>
      </c>
      <c r="C99" s="48" t="s">
        <v>234</v>
      </c>
      <c r="D99" s="147" t="s">
        <v>194</v>
      </c>
      <c r="E99" s="147" t="s">
        <v>18</v>
      </c>
      <c r="F99" s="98" t="s">
        <v>864</v>
      </c>
      <c r="G99" s="53" t="s">
        <v>19</v>
      </c>
      <c r="H99" s="147">
        <v>40</v>
      </c>
      <c r="I99" s="147">
        <v>987</v>
      </c>
      <c r="J99" s="147">
        <v>1560</v>
      </c>
      <c r="K99" s="147">
        <v>37</v>
      </c>
      <c r="L99" s="147">
        <f t="shared" si="4"/>
        <v>2624</v>
      </c>
      <c r="M99" s="147" t="s">
        <v>29</v>
      </c>
      <c r="N99" s="147" t="s">
        <v>118</v>
      </c>
      <c r="O99" s="49" t="s">
        <v>237</v>
      </c>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row>
    <row r="100" spans="1:141" s="46" customFormat="1" ht="124.5" customHeight="1" x14ac:dyDescent="0.3">
      <c r="A100" s="185">
        <v>99</v>
      </c>
      <c r="B100" s="147" t="s">
        <v>187</v>
      </c>
      <c r="C100" s="48" t="s">
        <v>235</v>
      </c>
      <c r="D100" s="147" t="s">
        <v>68</v>
      </c>
      <c r="E100" s="147" t="s">
        <v>18</v>
      </c>
      <c r="F100" s="145">
        <v>45049</v>
      </c>
      <c r="G100" s="52" t="s">
        <v>19</v>
      </c>
      <c r="H100" s="147">
        <v>0</v>
      </c>
      <c r="I100" s="147">
        <v>1</v>
      </c>
      <c r="J100" s="147">
        <v>9</v>
      </c>
      <c r="K100" s="147">
        <v>0</v>
      </c>
      <c r="L100" s="147">
        <f t="shared" si="4"/>
        <v>10</v>
      </c>
      <c r="M100" s="147" t="s">
        <v>49</v>
      </c>
      <c r="N100" s="147" t="s">
        <v>891</v>
      </c>
      <c r="O100" s="72" t="s">
        <v>894</v>
      </c>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50"/>
      <c r="DJ100" s="50"/>
      <c r="DK100" s="50"/>
      <c r="DL100" s="50"/>
      <c r="DM100" s="50"/>
      <c r="DN100" s="50"/>
      <c r="DO100" s="50"/>
      <c r="DP100" s="50"/>
      <c r="DQ100" s="50"/>
      <c r="DR100" s="50"/>
      <c r="DS100" s="50"/>
      <c r="DT100" s="50"/>
      <c r="DU100" s="50"/>
      <c r="DV100" s="50"/>
      <c r="DW100" s="50"/>
      <c r="DX100" s="50"/>
      <c r="DY100" s="50"/>
      <c r="DZ100" s="50"/>
      <c r="EA100" s="50"/>
      <c r="EB100" s="50"/>
      <c r="EC100" s="50"/>
      <c r="ED100" s="50"/>
      <c r="EE100" s="50"/>
      <c r="EF100" s="50"/>
      <c r="EG100" s="50"/>
      <c r="EH100" s="50"/>
      <c r="EI100" s="50"/>
      <c r="EJ100" s="50"/>
      <c r="EK100" s="50"/>
    </row>
    <row r="101" spans="1:141" s="47" customFormat="1" ht="246" customHeight="1" x14ac:dyDescent="0.3">
      <c r="A101" s="185">
        <v>100</v>
      </c>
      <c r="B101" s="147" t="s">
        <v>135</v>
      </c>
      <c r="C101" s="48" t="s">
        <v>239</v>
      </c>
      <c r="D101" s="147" t="s">
        <v>3</v>
      </c>
      <c r="E101" s="147" t="s">
        <v>18</v>
      </c>
      <c r="F101" s="145">
        <v>45050</v>
      </c>
      <c r="G101" s="147" t="s">
        <v>238</v>
      </c>
      <c r="H101" s="147">
        <v>0</v>
      </c>
      <c r="I101" s="147">
        <v>0</v>
      </c>
      <c r="J101" s="147">
        <v>37</v>
      </c>
      <c r="K101" s="147">
        <v>0</v>
      </c>
      <c r="L101" s="147">
        <f t="shared" si="4"/>
        <v>37</v>
      </c>
      <c r="M101" s="147" t="s">
        <v>28</v>
      </c>
      <c r="N101" s="147" t="s">
        <v>1</v>
      </c>
      <c r="O101" s="48" t="s">
        <v>240</v>
      </c>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c r="DA101" s="51"/>
      <c r="DB101" s="51"/>
      <c r="DC101" s="51"/>
      <c r="DD101" s="51"/>
      <c r="DE101" s="51"/>
      <c r="DF101" s="51"/>
      <c r="DG101" s="51"/>
      <c r="DH101" s="51"/>
      <c r="DI101" s="51"/>
      <c r="DJ101" s="51"/>
      <c r="DK101" s="51"/>
      <c r="DL101" s="51"/>
      <c r="DM101" s="51"/>
      <c r="DN101" s="51"/>
      <c r="DO101" s="51"/>
      <c r="DP101" s="51"/>
      <c r="DQ101" s="51"/>
      <c r="DR101" s="51"/>
      <c r="DS101" s="51"/>
      <c r="DT101" s="51"/>
      <c r="DU101" s="51"/>
      <c r="DV101" s="51"/>
      <c r="DW101" s="51"/>
      <c r="DX101" s="51"/>
      <c r="DY101" s="51"/>
      <c r="DZ101" s="51"/>
      <c r="EA101" s="51"/>
      <c r="EB101" s="51"/>
      <c r="EC101" s="51"/>
      <c r="ED101" s="51"/>
      <c r="EE101" s="51"/>
      <c r="EF101" s="51"/>
      <c r="EG101" s="51"/>
      <c r="EH101" s="51"/>
      <c r="EI101" s="51"/>
      <c r="EJ101" s="51"/>
      <c r="EK101" s="51"/>
    </row>
    <row r="102" spans="1:141" s="51" customFormat="1" ht="48" x14ac:dyDescent="0.3">
      <c r="A102" s="185">
        <v>101</v>
      </c>
      <c r="B102" s="43" t="s">
        <v>36</v>
      </c>
      <c r="C102" s="54" t="s">
        <v>249</v>
      </c>
      <c r="D102" s="43" t="s">
        <v>194</v>
      </c>
      <c r="E102" s="147" t="s">
        <v>18</v>
      </c>
      <c r="F102" s="44" t="s">
        <v>865</v>
      </c>
      <c r="G102" s="52" t="s">
        <v>19</v>
      </c>
      <c r="H102" s="43">
        <v>549</v>
      </c>
      <c r="I102" s="43">
        <v>243</v>
      </c>
      <c r="J102" s="43">
        <v>265</v>
      </c>
      <c r="K102" s="43">
        <v>35</v>
      </c>
      <c r="L102" s="43">
        <f t="shared" si="4"/>
        <v>1092</v>
      </c>
      <c r="M102" s="147" t="s">
        <v>28</v>
      </c>
      <c r="N102" s="43" t="s">
        <v>118</v>
      </c>
      <c r="O102" s="54" t="s">
        <v>250</v>
      </c>
    </row>
    <row r="103" spans="1:141" s="51" customFormat="1" ht="36" x14ac:dyDescent="0.3">
      <c r="A103" s="185">
        <v>102</v>
      </c>
      <c r="B103" s="43" t="s">
        <v>15</v>
      </c>
      <c r="C103" s="54" t="s">
        <v>263</v>
      </c>
      <c r="D103" s="43" t="s">
        <v>194</v>
      </c>
      <c r="E103" s="147" t="s">
        <v>18</v>
      </c>
      <c r="F103" s="44" t="s">
        <v>866</v>
      </c>
      <c r="G103" s="52" t="s">
        <v>19</v>
      </c>
      <c r="H103" s="43">
        <v>52</v>
      </c>
      <c r="I103" s="43">
        <v>0</v>
      </c>
      <c r="J103" s="43">
        <v>5</v>
      </c>
      <c r="K103" s="43">
        <v>0</v>
      </c>
      <c r="L103" s="43">
        <f t="shared" si="4"/>
        <v>57</v>
      </c>
      <c r="M103" s="147" t="s">
        <v>28</v>
      </c>
      <c r="N103" s="43" t="s">
        <v>118</v>
      </c>
      <c r="O103" s="54" t="s">
        <v>264</v>
      </c>
    </row>
    <row r="104" spans="1:141" s="51" customFormat="1" ht="60" x14ac:dyDescent="0.3">
      <c r="A104" s="185">
        <v>103</v>
      </c>
      <c r="B104" s="43" t="s">
        <v>36</v>
      </c>
      <c r="C104" s="147" t="s">
        <v>253</v>
      </c>
      <c r="D104" s="43" t="s">
        <v>194</v>
      </c>
      <c r="E104" s="147" t="s">
        <v>18</v>
      </c>
      <c r="F104" s="44">
        <v>45050</v>
      </c>
      <c r="G104" s="52" t="s">
        <v>19</v>
      </c>
      <c r="H104" s="43">
        <v>31</v>
      </c>
      <c r="I104" s="43">
        <v>0</v>
      </c>
      <c r="J104" s="43">
        <v>0</v>
      </c>
      <c r="K104" s="43">
        <v>0</v>
      </c>
      <c r="L104" s="43">
        <f t="shared" si="4"/>
        <v>31</v>
      </c>
      <c r="M104" s="43" t="s">
        <v>254</v>
      </c>
      <c r="N104" s="43" t="s">
        <v>118</v>
      </c>
      <c r="O104" s="147" t="s">
        <v>255</v>
      </c>
    </row>
    <row r="105" spans="1:141" ht="48" x14ac:dyDescent="0.3">
      <c r="A105" s="185">
        <v>104</v>
      </c>
      <c r="B105" s="43" t="s">
        <v>36</v>
      </c>
      <c r="C105" s="43" t="s">
        <v>242</v>
      </c>
      <c r="D105" s="43" t="s">
        <v>194</v>
      </c>
      <c r="E105" s="147" t="s">
        <v>18</v>
      </c>
      <c r="F105" s="44">
        <v>45051</v>
      </c>
      <c r="G105" s="52" t="s">
        <v>19</v>
      </c>
      <c r="H105" s="43">
        <v>7</v>
      </c>
      <c r="I105" s="43">
        <v>15</v>
      </c>
      <c r="J105" s="43">
        <v>20</v>
      </c>
      <c r="K105" s="43">
        <v>0</v>
      </c>
      <c r="L105" s="43">
        <f t="shared" si="4"/>
        <v>42</v>
      </c>
      <c r="M105" s="43" t="s">
        <v>243</v>
      </c>
      <c r="N105" s="43" t="s">
        <v>118</v>
      </c>
      <c r="O105" s="43" t="s">
        <v>244</v>
      </c>
    </row>
    <row r="106" spans="1:141" ht="62.25" customHeight="1" x14ac:dyDescent="0.3">
      <c r="A106" s="185">
        <v>105</v>
      </c>
      <c r="B106" s="43" t="s">
        <v>36</v>
      </c>
      <c r="C106" s="147" t="s">
        <v>245</v>
      </c>
      <c r="D106" s="43" t="s">
        <v>194</v>
      </c>
      <c r="E106" s="147" t="s">
        <v>18</v>
      </c>
      <c r="F106" s="44">
        <v>45051</v>
      </c>
      <c r="G106" s="147" t="s">
        <v>246</v>
      </c>
      <c r="H106" s="147">
        <v>10</v>
      </c>
      <c r="I106" s="147">
        <v>300</v>
      </c>
      <c r="J106" s="147">
        <v>0</v>
      </c>
      <c r="K106" s="147">
        <v>0</v>
      </c>
      <c r="L106" s="147">
        <f t="shared" si="4"/>
        <v>310</v>
      </c>
      <c r="M106" s="147" t="s">
        <v>247</v>
      </c>
      <c r="N106" s="43" t="s">
        <v>118</v>
      </c>
      <c r="O106" s="147" t="s">
        <v>248</v>
      </c>
    </row>
    <row r="107" spans="1:141" ht="71.25" customHeight="1" x14ac:dyDescent="0.3">
      <c r="A107" s="185">
        <v>106</v>
      </c>
      <c r="B107" s="43" t="s">
        <v>36</v>
      </c>
      <c r="C107" s="147" t="s">
        <v>251</v>
      </c>
      <c r="D107" s="43" t="s">
        <v>194</v>
      </c>
      <c r="E107" s="147" t="s">
        <v>18</v>
      </c>
      <c r="F107" s="44">
        <v>45051</v>
      </c>
      <c r="G107" s="147" t="s">
        <v>246</v>
      </c>
      <c r="H107" s="147">
        <v>13</v>
      </c>
      <c r="I107" s="147">
        <v>177</v>
      </c>
      <c r="J107" s="147">
        <v>0</v>
      </c>
      <c r="K107" s="147">
        <v>0</v>
      </c>
      <c r="L107" s="147">
        <f t="shared" si="4"/>
        <v>190</v>
      </c>
      <c r="M107" s="147" t="s">
        <v>247</v>
      </c>
      <c r="N107" s="43" t="s">
        <v>118</v>
      </c>
      <c r="O107" s="147" t="s">
        <v>252</v>
      </c>
    </row>
    <row r="108" spans="1:141" ht="87" customHeight="1" x14ac:dyDescent="0.3">
      <c r="A108" s="185">
        <v>107</v>
      </c>
      <c r="B108" s="43" t="s">
        <v>36</v>
      </c>
      <c r="C108" s="147" t="s">
        <v>256</v>
      </c>
      <c r="D108" s="43" t="s">
        <v>194</v>
      </c>
      <c r="E108" s="147" t="s">
        <v>18</v>
      </c>
      <c r="F108" s="44">
        <v>45051</v>
      </c>
      <c r="G108" s="52" t="s">
        <v>19</v>
      </c>
      <c r="H108" s="147">
        <v>52</v>
      </c>
      <c r="I108" s="147">
        <v>0</v>
      </c>
      <c r="J108" s="147">
        <v>0</v>
      </c>
      <c r="K108" s="147">
        <v>0</v>
      </c>
      <c r="L108" s="147">
        <f t="shared" si="4"/>
        <v>52</v>
      </c>
      <c r="M108" s="147" t="s">
        <v>258</v>
      </c>
      <c r="N108" s="43" t="s">
        <v>118</v>
      </c>
      <c r="O108" s="147" t="s">
        <v>257</v>
      </c>
    </row>
    <row r="109" spans="1:141" s="41" customFormat="1" ht="124.5" customHeight="1" x14ac:dyDescent="0.3">
      <c r="A109" s="185">
        <v>108</v>
      </c>
      <c r="B109" s="43" t="s">
        <v>113</v>
      </c>
      <c r="C109" s="147" t="s">
        <v>261</v>
      </c>
      <c r="D109" s="43" t="s">
        <v>194</v>
      </c>
      <c r="E109" s="147" t="s">
        <v>18</v>
      </c>
      <c r="F109" s="44">
        <v>45054</v>
      </c>
      <c r="G109" s="52" t="s">
        <v>19</v>
      </c>
      <c r="H109" s="147">
        <v>2</v>
      </c>
      <c r="I109" s="147">
        <v>3</v>
      </c>
      <c r="J109" s="147">
        <v>18</v>
      </c>
      <c r="K109" s="147">
        <v>3</v>
      </c>
      <c r="L109" s="147">
        <f t="shared" si="4"/>
        <v>26</v>
      </c>
      <c r="M109" s="147" t="s">
        <v>49</v>
      </c>
      <c r="N109" s="43" t="s">
        <v>891</v>
      </c>
      <c r="O109" s="147" t="s">
        <v>895</v>
      </c>
    </row>
    <row r="110" spans="1:141" s="41" customFormat="1" ht="99.75" customHeight="1" x14ac:dyDescent="0.3">
      <c r="A110" s="185">
        <v>109</v>
      </c>
      <c r="B110" s="43" t="s">
        <v>93</v>
      </c>
      <c r="C110" s="147" t="s">
        <v>265</v>
      </c>
      <c r="D110" s="43" t="s">
        <v>194</v>
      </c>
      <c r="E110" s="147" t="s">
        <v>18</v>
      </c>
      <c r="F110" s="44">
        <v>45056</v>
      </c>
      <c r="G110" s="52" t="s">
        <v>19</v>
      </c>
      <c r="H110" s="147">
        <v>14</v>
      </c>
      <c r="I110" s="147">
        <v>30</v>
      </c>
      <c r="J110" s="147">
        <v>70</v>
      </c>
      <c r="K110" s="147">
        <v>15</v>
      </c>
      <c r="L110" s="147">
        <f t="shared" si="4"/>
        <v>129</v>
      </c>
      <c r="M110" s="147" t="s">
        <v>266</v>
      </c>
      <c r="N110" s="43" t="s">
        <v>118</v>
      </c>
      <c r="O110" s="147" t="s">
        <v>267</v>
      </c>
    </row>
    <row r="111" spans="1:141" s="41" customFormat="1" ht="40.5" customHeight="1" x14ac:dyDescent="0.3">
      <c r="A111" s="185">
        <v>110</v>
      </c>
      <c r="B111" s="43" t="s">
        <v>5</v>
      </c>
      <c r="C111" s="147" t="s">
        <v>300</v>
      </c>
      <c r="D111" s="43" t="s">
        <v>193</v>
      </c>
      <c r="E111" s="147" t="s">
        <v>18</v>
      </c>
      <c r="F111" s="44">
        <v>45056</v>
      </c>
      <c r="G111" s="52" t="s">
        <v>19</v>
      </c>
      <c r="H111" s="147">
        <v>14</v>
      </c>
      <c r="I111" s="147">
        <v>5</v>
      </c>
      <c r="J111" s="147">
        <v>20</v>
      </c>
      <c r="K111" s="147">
        <v>0</v>
      </c>
      <c r="L111" s="147">
        <f t="shared" si="4"/>
        <v>39</v>
      </c>
      <c r="M111" s="147" t="s">
        <v>33</v>
      </c>
      <c r="N111" s="43" t="s">
        <v>118</v>
      </c>
      <c r="O111" s="147" t="s">
        <v>302</v>
      </c>
    </row>
    <row r="112" spans="1:141" s="41" customFormat="1" ht="75" customHeight="1" x14ac:dyDescent="0.3">
      <c r="A112" s="185">
        <v>111</v>
      </c>
      <c r="B112" s="43" t="s">
        <v>93</v>
      </c>
      <c r="C112" s="147" t="s">
        <v>287</v>
      </c>
      <c r="D112" s="43" t="s">
        <v>194</v>
      </c>
      <c r="E112" s="147" t="s">
        <v>18</v>
      </c>
      <c r="F112" s="44">
        <v>45057</v>
      </c>
      <c r="G112" s="52" t="s">
        <v>19</v>
      </c>
      <c r="H112" s="147">
        <v>14</v>
      </c>
      <c r="I112" s="147">
        <v>49</v>
      </c>
      <c r="J112" s="147">
        <v>153</v>
      </c>
      <c r="K112" s="147">
        <v>15</v>
      </c>
      <c r="L112" s="147">
        <f t="shared" si="4"/>
        <v>231</v>
      </c>
      <c r="M112" s="147" t="s">
        <v>266</v>
      </c>
      <c r="N112" s="43" t="s">
        <v>118</v>
      </c>
      <c r="O112" s="147" t="s">
        <v>268</v>
      </c>
    </row>
    <row r="113" spans="1:16" s="41" customFormat="1" ht="48" x14ac:dyDescent="0.3">
      <c r="A113" s="185">
        <v>112</v>
      </c>
      <c r="B113" s="43" t="s">
        <v>5</v>
      </c>
      <c r="C113" s="147" t="s">
        <v>301</v>
      </c>
      <c r="D113" s="43" t="s">
        <v>193</v>
      </c>
      <c r="E113" s="147" t="s">
        <v>18</v>
      </c>
      <c r="F113" s="44">
        <v>45057</v>
      </c>
      <c r="G113" s="52" t="s">
        <v>19</v>
      </c>
      <c r="H113" s="147">
        <v>12</v>
      </c>
      <c r="I113" s="147">
        <v>3</v>
      </c>
      <c r="J113" s="147">
        <v>15</v>
      </c>
      <c r="K113" s="147">
        <v>0</v>
      </c>
      <c r="L113" s="147">
        <f t="shared" si="4"/>
        <v>30</v>
      </c>
      <c r="M113" s="147" t="s">
        <v>33</v>
      </c>
      <c r="N113" s="43" t="s">
        <v>118</v>
      </c>
      <c r="O113" s="147" t="s">
        <v>303</v>
      </c>
    </row>
    <row r="114" spans="1:16" ht="90.75" customHeight="1" x14ac:dyDescent="0.3">
      <c r="A114" s="185">
        <v>113</v>
      </c>
      <c r="B114" s="147" t="s">
        <v>17</v>
      </c>
      <c r="C114" s="147" t="s">
        <v>259</v>
      </c>
      <c r="D114" s="147" t="s">
        <v>193</v>
      </c>
      <c r="E114" s="147" t="s">
        <v>18</v>
      </c>
      <c r="F114" s="145" t="s">
        <v>867</v>
      </c>
      <c r="G114" s="147" t="s">
        <v>326</v>
      </c>
      <c r="H114" s="147">
        <v>2</v>
      </c>
      <c r="I114" s="147">
        <v>5</v>
      </c>
      <c r="J114" s="147">
        <v>16</v>
      </c>
      <c r="K114" s="147">
        <v>1</v>
      </c>
      <c r="L114" s="147">
        <f t="shared" si="4"/>
        <v>24</v>
      </c>
      <c r="M114" s="147" t="s">
        <v>366</v>
      </c>
      <c r="N114" s="147" t="s">
        <v>1</v>
      </c>
      <c r="O114" s="147" t="s">
        <v>260</v>
      </c>
    </row>
    <row r="115" spans="1:16" ht="60" x14ac:dyDescent="0.3">
      <c r="A115" s="185">
        <v>114</v>
      </c>
      <c r="B115" s="147" t="s">
        <v>113</v>
      </c>
      <c r="C115" s="147" t="s">
        <v>262</v>
      </c>
      <c r="D115" s="147" t="s">
        <v>194</v>
      </c>
      <c r="E115" s="147" t="s">
        <v>18</v>
      </c>
      <c r="F115" s="145">
        <v>45058</v>
      </c>
      <c r="G115" s="147" t="s">
        <v>330</v>
      </c>
      <c r="H115" s="147">
        <v>0</v>
      </c>
      <c r="I115" s="147">
        <v>0</v>
      </c>
      <c r="J115" s="147">
        <v>6</v>
      </c>
      <c r="K115" s="147">
        <v>0</v>
      </c>
      <c r="L115" s="147">
        <f t="shared" si="4"/>
        <v>6</v>
      </c>
      <c r="M115" s="147" t="s">
        <v>49</v>
      </c>
      <c r="N115" s="43" t="s">
        <v>891</v>
      </c>
      <c r="O115" s="147" t="s">
        <v>896</v>
      </c>
    </row>
    <row r="116" spans="1:16" s="41" customFormat="1" ht="51" customHeight="1" x14ac:dyDescent="0.3">
      <c r="A116" s="185">
        <v>115</v>
      </c>
      <c r="B116" s="147" t="s">
        <v>15</v>
      </c>
      <c r="C116" s="147" t="s">
        <v>274</v>
      </c>
      <c r="D116" s="147" t="s">
        <v>194</v>
      </c>
      <c r="E116" s="147" t="s">
        <v>18</v>
      </c>
      <c r="F116" s="89">
        <v>45058</v>
      </c>
      <c r="G116" s="52" t="s">
        <v>19</v>
      </c>
      <c r="H116" s="147">
        <v>1</v>
      </c>
      <c r="I116" s="147">
        <v>2</v>
      </c>
      <c r="J116" s="147">
        <v>4</v>
      </c>
      <c r="K116" s="147">
        <v>0</v>
      </c>
      <c r="L116" s="147">
        <f t="shared" ref="L116:L129" si="5">SUM(H116:K116)</f>
        <v>7</v>
      </c>
      <c r="M116" s="147" t="s">
        <v>839</v>
      </c>
      <c r="N116" s="43" t="s">
        <v>118</v>
      </c>
      <c r="O116" s="147" t="s">
        <v>275</v>
      </c>
    </row>
    <row r="117" spans="1:16" s="41" customFormat="1" ht="111.75" customHeight="1" x14ac:dyDescent="0.3">
      <c r="A117" s="185">
        <v>116</v>
      </c>
      <c r="B117" s="147" t="s">
        <v>25</v>
      </c>
      <c r="C117" s="147" t="s">
        <v>292</v>
      </c>
      <c r="D117" s="147" t="s">
        <v>194</v>
      </c>
      <c r="E117" s="147" t="s">
        <v>18</v>
      </c>
      <c r="F117" s="89">
        <v>45058</v>
      </c>
      <c r="G117" s="52" t="s">
        <v>19</v>
      </c>
      <c r="H117" s="147">
        <v>3</v>
      </c>
      <c r="I117" s="147">
        <v>0</v>
      </c>
      <c r="J117" s="147">
        <v>11</v>
      </c>
      <c r="K117" s="147">
        <v>3</v>
      </c>
      <c r="L117" s="147">
        <f t="shared" si="5"/>
        <v>17</v>
      </c>
      <c r="M117" s="140" t="s">
        <v>31</v>
      </c>
      <c r="N117" s="43" t="s">
        <v>118</v>
      </c>
      <c r="O117" s="147" t="s">
        <v>299</v>
      </c>
    </row>
    <row r="118" spans="1:16" s="41" customFormat="1" ht="53.25" customHeight="1" x14ac:dyDescent="0.3">
      <c r="A118" s="185">
        <v>117</v>
      </c>
      <c r="B118" s="147" t="s">
        <v>222</v>
      </c>
      <c r="C118" s="147" t="s">
        <v>276</v>
      </c>
      <c r="D118" s="147" t="s">
        <v>162</v>
      </c>
      <c r="E118" s="147" t="s">
        <v>18</v>
      </c>
      <c r="F118" s="147" t="s">
        <v>868</v>
      </c>
      <c r="G118" s="147" t="s">
        <v>329</v>
      </c>
      <c r="H118" s="147">
        <v>0</v>
      </c>
      <c r="I118" s="147">
        <v>1</v>
      </c>
      <c r="J118" s="147">
        <v>4</v>
      </c>
      <c r="K118" s="147">
        <v>0</v>
      </c>
      <c r="L118" s="147">
        <f t="shared" si="5"/>
        <v>5</v>
      </c>
      <c r="M118" s="147" t="s">
        <v>366</v>
      </c>
      <c r="N118" s="147" t="s">
        <v>1</v>
      </c>
      <c r="O118" s="147" t="s">
        <v>277</v>
      </c>
    </row>
    <row r="119" spans="1:16" s="41" customFormat="1" ht="140.25" customHeight="1" x14ac:dyDescent="0.3">
      <c r="A119" s="185">
        <v>118</v>
      </c>
      <c r="B119" s="147" t="s">
        <v>15</v>
      </c>
      <c r="C119" s="147" t="s">
        <v>278</v>
      </c>
      <c r="D119" s="147" t="s">
        <v>194</v>
      </c>
      <c r="E119" s="147" t="s">
        <v>18</v>
      </c>
      <c r="F119" s="89">
        <v>45061</v>
      </c>
      <c r="G119" s="147" t="s">
        <v>279</v>
      </c>
      <c r="H119" s="147">
        <v>0</v>
      </c>
      <c r="I119" s="147">
        <v>5</v>
      </c>
      <c r="J119" s="147">
        <v>14</v>
      </c>
      <c r="K119" s="147">
        <v>0</v>
      </c>
      <c r="L119" s="147">
        <f t="shared" si="5"/>
        <v>19</v>
      </c>
      <c r="M119" s="147" t="s">
        <v>52</v>
      </c>
      <c r="N119" s="43" t="s">
        <v>118</v>
      </c>
      <c r="O119" s="147" t="s">
        <v>288</v>
      </c>
    </row>
    <row r="120" spans="1:16" s="41" customFormat="1" ht="48" x14ac:dyDescent="0.3">
      <c r="A120" s="185">
        <v>119</v>
      </c>
      <c r="B120" s="147" t="s">
        <v>17</v>
      </c>
      <c r="C120" s="147" t="s">
        <v>483</v>
      </c>
      <c r="D120" s="147" t="s">
        <v>194</v>
      </c>
      <c r="E120" s="147" t="s">
        <v>18</v>
      </c>
      <c r="F120" s="89">
        <v>45061</v>
      </c>
      <c r="G120" s="147" t="s">
        <v>328</v>
      </c>
      <c r="H120" s="147">
        <v>0</v>
      </c>
      <c r="I120" s="147">
        <v>3</v>
      </c>
      <c r="J120" s="147">
        <v>22</v>
      </c>
      <c r="K120" s="147">
        <v>0</v>
      </c>
      <c r="L120" s="147">
        <f t="shared" si="5"/>
        <v>25</v>
      </c>
      <c r="M120" s="147" t="s">
        <v>30</v>
      </c>
      <c r="N120" s="43" t="s">
        <v>118</v>
      </c>
      <c r="O120" s="147" t="s">
        <v>280</v>
      </c>
    </row>
    <row r="121" spans="1:16" s="41" customFormat="1" ht="36" x14ac:dyDescent="0.3">
      <c r="A121" s="185">
        <v>120</v>
      </c>
      <c r="B121" s="147" t="s">
        <v>17</v>
      </c>
      <c r="C121" s="147" t="s">
        <v>281</v>
      </c>
      <c r="D121" s="147" t="s">
        <v>194</v>
      </c>
      <c r="E121" s="147" t="s">
        <v>18</v>
      </c>
      <c r="F121" s="89">
        <v>45061</v>
      </c>
      <c r="G121" s="52" t="s">
        <v>19</v>
      </c>
      <c r="H121" s="147">
        <v>3</v>
      </c>
      <c r="I121" s="147">
        <v>15</v>
      </c>
      <c r="J121" s="147">
        <v>60</v>
      </c>
      <c r="K121" s="147">
        <v>5</v>
      </c>
      <c r="L121" s="147">
        <f t="shared" si="5"/>
        <v>83</v>
      </c>
      <c r="M121" s="147" t="s">
        <v>30</v>
      </c>
      <c r="N121" s="43" t="s">
        <v>118</v>
      </c>
      <c r="O121" s="147" t="s">
        <v>282</v>
      </c>
      <c r="P121" s="6"/>
    </row>
    <row r="122" spans="1:16" s="41" customFormat="1" ht="198" customHeight="1" x14ac:dyDescent="0.3">
      <c r="A122" s="185">
        <v>121</v>
      </c>
      <c r="B122" s="147" t="s">
        <v>36</v>
      </c>
      <c r="C122" s="147" t="s">
        <v>289</v>
      </c>
      <c r="D122" s="147" t="s">
        <v>194</v>
      </c>
      <c r="E122" s="147" t="s">
        <v>18</v>
      </c>
      <c r="F122" s="89">
        <v>45062</v>
      </c>
      <c r="G122" s="52" t="s">
        <v>19</v>
      </c>
      <c r="H122" s="147">
        <v>13</v>
      </c>
      <c r="I122" s="147">
        <v>63</v>
      </c>
      <c r="J122" s="147">
        <v>136</v>
      </c>
      <c r="K122" s="147">
        <v>10</v>
      </c>
      <c r="L122" s="147">
        <f t="shared" si="5"/>
        <v>222</v>
      </c>
      <c r="M122" s="147" t="s">
        <v>28</v>
      </c>
      <c r="N122" s="43" t="s">
        <v>118</v>
      </c>
      <c r="O122" s="147" t="s">
        <v>290</v>
      </c>
    </row>
    <row r="123" spans="1:16" s="41" customFormat="1" ht="39" customHeight="1" x14ac:dyDescent="0.3">
      <c r="A123" s="185">
        <v>122</v>
      </c>
      <c r="B123" s="147" t="s">
        <v>36</v>
      </c>
      <c r="C123" s="147" t="s">
        <v>286</v>
      </c>
      <c r="D123" s="147" t="s">
        <v>194</v>
      </c>
      <c r="E123" s="147" t="s">
        <v>18</v>
      </c>
      <c r="F123" s="147" t="s">
        <v>869</v>
      </c>
      <c r="G123" s="52" t="s">
        <v>19</v>
      </c>
      <c r="H123" s="147">
        <v>121</v>
      </c>
      <c r="I123" s="147">
        <v>297</v>
      </c>
      <c r="J123" s="147">
        <v>597</v>
      </c>
      <c r="K123" s="147">
        <v>51</v>
      </c>
      <c r="L123" s="147">
        <f t="shared" si="5"/>
        <v>1066</v>
      </c>
      <c r="M123" s="147" t="s">
        <v>28</v>
      </c>
      <c r="N123" s="43" t="s">
        <v>118</v>
      </c>
      <c r="O123" s="147" t="s">
        <v>388</v>
      </c>
    </row>
    <row r="124" spans="1:16" s="60" customFormat="1" ht="135.75" customHeight="1" x14ac:dyDescent="0.3">
      <c r="A124" s="185">
        <v>123</v>
      </c>
      <c r="B124" s="61" t="s">
        <v>15</v>
      </c>
      <c r="C124" s="61" t="s">
        <v>337</v>
      </c>
      <c r="D124" s="61" t="s">
        <v>194</v>
      </c>
      <c r="E124" s="61" t="s">
        <v>198</v>
      </c>
      <c r="F124" s="62">
        <v>45063</v>
      </c>
      <c r="G124" s="61" t="s">
        <v>197</v>
      </c>
      <c r="H124" s="38">
        <v>0</v>
      </c>
      <c r="I124" s="147">
        <v>3</v>
      </c>
      <c r="J124" s="147">
        <v>10</v>
      </c>
      <c r="K124" s="147">
        <v>0</v>
      </c>
      <c r="L124" s="63">
        <f t="shared" si="5"/>
        <v>13</v>
      </c>
      <c r="M124" s="61" t="s">
        <v>297</v>
      </c>
      <c r="N124" s="61" t="s">
        <v>118</v>
      </c>
      <c r="O124" s="61" t="s">
        <v>339</v>
      </c>
    </row>
    <row r="125" spans="1:16" s="41" customFormat="1" ht="102.75" customHeight="1" x14ac:dyDescent="0.3">
      <c r="A125" s="185">
        <v>124</v>
      </c>
      <c r="B125" s="147" t="s">
        <v>17</v>
      </c>
      <c r="C125" s="147" t="s">
        <v>291</v>
      </c>
      <c r="D125" s="147" t="s">
        <v>194</v>
      </c>
      <c r="E125" s="147" t="s">
        <v>18</v>
      </c>
      <c r="F125" s="89">
        <v>45063</v>
      </c>
      <c r="G125" s="53" t="s">
        <v>19</v>
      </c>
      <c r="H125" s="147">
        <v>2</v>
      </c>
      <c r="I125" s="147">
        <v>7</v>
      </c>
      <c r="J125" s="147">
        <v>23</v>
      </c>
      <c r="K125" s="147">
        <v>1</v>
      </c>
      <c r="L125" s="147">
        <f t="shared" si="5"/>
        <v>33</v>
      </c>
      <c r="M125" s="147" t="s">
        <v>272</v>
      </c>
      <c r="N125" s="147" t="s">
        <v>118</v>
      </c>
      <c r="O125" s="147" t="s">
        <v>273</v>
      </c>
      <c r="P125" s="6"/>
    </row>
    <row r="126" spans="1:16" ht="76.5" customHeight="1" x14ac:dyDescent="0.3">
      <c r="A126" s="185">
        <v>125</v>
      </c>
      <c r="B126" s="147" t="s">
        <v>38</v>
      </c>
      <c r="C126" s="147" t="s">
        <v>285</v>
      </c>
      <c r="D126" s="147" t="s">
        <v>194</v>
      </c>
      <c r="E126" s="147" t="s">
        <v>18</v>
      </c>
      <c r="F126" s="89">
        <v>45064</v>
      </c>
      <c r="G126" s="53" t="s">
        <v>284</v>
      </c>
      <c r="H126" s="147">
        <v>2</v>
      </c>
      <c r="I126" s="147">
        <v>19</v>
      </c>
      <c r="J126" s="147">
        <v>31</v>
      </c>
      <c r="K126" s="147">
        <v>0</v>
      </c>
      <c r="L126" s="147">
        <f t="shared" si="5"/>
        <v>52</v>
      </c>
      <c r="M126" s="147" t="s">
        <v>28</v>
      </c>
      <c r="N126" s="147" t="s">
        <v>891</v>
      </c>
      <c r="O126" s="147" t="s">
        <v>283</v>
      </c>
    </row>
    <row r="127" spans="1:16" s="41" customFormat="1" ht="85.5" customHeight="1" x14ac:dyDescent="0.3">
      <c r="A127" s="185">
        <v>126</v>
      </c>
      <c r="B127" s="147" t="s">
        <v>5</v>
      </c>
      <c r="C127" s="147" t="s">
        <v>304</v>
      </c>
      <c r="D127" s="147" t="s">
        <v>193</v>
      </c>
      <c r="E127" s="147" t="s">
        <v>18</v>
      </c>
      <c r="F127" s="89">
        <v>45065</v>
      </c>
      <c r="G127" s="52" t="s">
        <v>19</v>
      </c>
      <c r="H127" s="147">
        <v>1</v>
      </c>
      <c r="I127" s="147">
        <v>2</v>
      </c>
      <c r="J127" s="147">
        <v>30</v>
      </c>
      <c r="K127" s="147">
        <v>0</v>
      </c>
      <c r="L127" s="147">
        <f t="shared" si="5"/>
        <v>33</v>
      </c>
      <c r="M127" s="147" t="s">
        <v>33</v>
      </c>
      <c r="N127" s="147" t="s">
        <v>118</v>
      </c>
      <c r="O127" s="43" t="s">
        <v>305</v>
      </c>
    </row>
    <row r="128" spans="1:16" s="41" customFormat="1" ht="87" customHeight="1" x14ac:dyDescent="0.3">
      <c r="A128" s="185">
        <v>127</v>
      </c>
      <c r="B128" s="147" t="s">
        <v>5</v>
      </c>
      <c r="C128" s="147" t="s">
        <v>306</v>
      </c>
      <c r="D128" s="147" t="s">
        <v>193</v>
      </c>
      <c r="E128" s="147" t="s">
        <v>18</v>
      </c>
      <c r="F128" s="89">
        <v>45065</v>
      </c>
      <c r="G128" s="52" t="s">
        <v>19</v>
      </c>
      <c r="H128" s="147">
        <v>2</v>
      </c>
      <c r="I128" s="147">
        <v>9</v>
      </c>
      <c r="J128" s="147">
        <v>13</v>
      </c>
      <c r="K128" s="147">
        <v>0</v>
      </c>
      <c r="L128" s="147">
        <f t="shared" si="5"/>
        <v>24</v>
      </c>
      <c r="M128" s="147" t="s">
        <v>33</v>
      </c>
      <c r="N128" s="147" t="s">
        <v>118</v>
      </c>
      <c r="O128" s="43" t="s">
        <v>305</v>
      </c>
    </row>
    <row r="129" spans="1:15" s="41" customFormat="1" ht="137.25" customHeight="1" x14ac:dyDescent="0.3">
      <c r="A129" s="185">
        <v>128</v>
      </c>
      <c r="B129" s="147" t="s">
        <v>5</v>
      </c>
      <c r="C129" s="147" t="s">
        <v>307</v>
      </c>
      <c r="D129" s="147" t="s">
        <v>68</v>
      </c>
      <c r="E129" s="147" t="s">
        <v>18</v>
      </c>
      <c r="F129" s="89">
        <v>45066</v>
      </c>
      <c r="G129" s="53" t="s">
        <v>327</v>
      </c>
      <c r="H129" s="147">
        <v>83</v>
      </c>
      <c r="I129" s="147">
        <v>2</v>
      </c>
      <c r="J129" s="147">
        <v>15</v>
      </c>
      <c r="K129" s="147">
        <v>0</v>
      </c>
      <c r="L129" s="147">
        <f t="shared" si="5"/>
        <v>100</v>
      </c>
      <c r="M129" s="147" t="s">
        <v>33</v>
      </c>
      <c r="N129" s="147" t="s">
        <v>118</v>
      </c>
      <c r="O129" s="43" t="s">
        <v>308</v>
      </c>
    </row>
    <row r="130" spans="1:15" ht="72" x14ac:dyDescent="0.3">
      <c r="A130" s="185">
        <v>129</v>
      </c>
      <c r="B130" s="147" t="s">
        <v>135</v>
      </c>
      <c r="C130" s="140" t="s">
        <v>315</v>
      </c>
      <c r="D130" s="140" t="s">
        <v>194</v>
      </c>
      <c r="E130" s="140" t="s">
        <v>18</v>
      </c>
      <c r="F130" s="79" t="s">
        <v>870</v>
      </c>
      <c r="G130" s="140" t="s">
        <v>167</v>
      </c>
      <c r="H130" s="140">
        <v>3</v>
      </c>
      <c r="I130" s="140">
        <v>5</v>
      </c>
      <c r="J130" s="140">
        <v>67</v>
      </c>
      <c r="K130" s="140">
        <v>0</v>
      </c>
      <c r="L130" s="140">
        <f t="shared" ref="L130:L142" si="6">SUM(H130:K130)</f>
        <v>75</v>
      </c>
      <c r="M130" s="140" t="s">
        <v>28</v>
      </c>
      <c r="N130" s="140" t="s">
        <v>118</v>
      </c>
      <c r="O130" s="140" t="s">
        <v>314</v>
      </c>
    </row>
    <row r="131" spans="1:15" ht="52.5" customHeight="1" x14ac:dyDescent="0.3">
      <c r="A131" s="185">
        <v>130</v>
      </c>
      <c r="B131" s="147" t="s">
        <v>222</v>
      </c>
      <c r="C131" s="147" t="s">
        <v>309</v>
      </c>
      <c r="D131" s="147" t="s">
        <v>194</v>
      </c>
      <c r="E131" s="147" t="s">
        <v>18</v>
      </c>
      <c r="F131" s="145">
        <v>45069</v>
      </c>
      <c r="G131" s="52" t="s">
        <v>19</v>
      </c>
      <c r="H131" s="143">
        <v>7</v>
      </c>
      <c r="I131" s="162">
        <v>71</v>
      </c>
      <c r="J131" s="34">
        <v>105</v>
      </c>
      <c r="K131" s="34">
        <v>6</v>
      </c>
      <c r="L131" s="34">
        <f t="shared" si="6"/>
        <v>189</v>
      </c>
      <c r="M131" s="147" t="s">
        <v>366</v>
      </c>
      <c r="N131" s="147" t="s">
        <v>118</v>
      </c>
      <c r="O131" s="147" t="s">
        <v>311</v>
      </c>
    </row>
    <row r="132" spans="1:15" s="41" customFormat="1" ht="102" customHeight="1" x14ac:dyDescent="0.3">
      <c r="A132" s="185">
        <v>131</v>
      </c>
      <c r="B132" s="147" t="s">
        <v>135</v>
      </c>
      <c r="C132" s="140" t="s">
        <v>316</v>
      </c>
      <c r="D132" s="140" t="s">
        <v>194</v>
      </c>
      <c r="E132" s="140" t="s">
        <v>18</v>
      </c>
      <c r="F132" s="134" t="s">
        <v>871</v>
      </c>
      <c r="G132" s="140" t="s">
        <v>167</v>
      </c>
      <c r="H132" s="131">
        <v>3</v>
      </c>
      <c r="I132" s="131">
        <v>5</v>
      </c>
      <c r="J132" s="132">
        <v>67</v>
      </c>
      <c r="K132" s="132">
        <v>0</v>
      </c>
      <c r="L132" s="159">
        <f t="shared" si="6"/>
        <v>75</v>
      </c>
      <c r="M132" s="140" t="s">
        <v>28</v>
      </c>
      <c r="N132" s="140" t="s">
        <v>118</v>
      </c>
      <c r="O132" s="140" t="s">
        <v>319</v>
      </c>
    </row>
    <row r="133" spans="1:15" s="41" customFormat="1" ht="102" customHeight="1" x14ac:dyDescent="0.3">
      <c r="A133" s="185">
        <v>132</v>
      </c>
      <c r="B133" s="147" t="s">
        <v>17</v>
      </c>
      <c r="C133" s="140" t="s">
        <v>325</v>
      </c>
      <c r="D133" s="140" t="s">
        <v>220</v>
      </c>
      <c r="E133" s="140" t="s">
        <v>18</v>
      </c>
      <c r="F133" s="134" t="s">
        <v>871</v>
      </c>
      <c r="G133" s="140" t="s">
        <v>322</v>
      </c>
      <c r="H133" s="131">
        <v>1</v>
      </c>
      <c r="I133" s="131">
        <v>0</v>
      </c>
      <c r="J133" s="132">
        <v>0</v>
      </c>
      <c r="K133" s="132">
        <v>14</v>
      </c>
      <c r="L133" s="159">
        <f t="shared" si="6"/>
        <v>15</v>
      </c>
      <c r="M133" s="147" t="s">
        <v>366</v>
      </c>
      <c r="N133" s="140" t="s">
        <v>1</v>
      </c>
      <c r="O133" s="140" t="s">
        <v>333</v>
      </c>
    </row>
    <row r="134" spans="1:15" ht="75" customHeight="1" x14ac:dyDescent="0.3">
      <c r="A134" s="185">
        <v>133</v>
      </c>
      <c r="B134" s="147" t="s">
        <v>222</v>
      </c>
      <c r="C134" s="147" t="s">
        <v>310</v>
      </c>
      <c r="D134" s="147" t="s">
        <v>3</v>
      </c>
      <c r="E134" s="147" t="s">
        <v>18</v>
      </c>
      <c r="F134" s="145" t="s">
        <v>872</v>
      </c>
      <c r="G134" s="147" t="s">
        <v>326</v>
      </c>
      <c r="H134" s="143">
        <v>1</v>
      </c>
      <c r="I134" s="162">
        <v>2</v>
      </c>
      <c r="J134" s="34">
        <v>11</v>
      </c>
      <c r="K134" s="34">
        <v>0</v>
      </c>
      <c r="L134" s="34">
        <f t="shared" si="6"/>
        <v>14</v>
      </c>
      <c r="M134" s="147" t="s">
        <v>366</v>
      </c>
      <c r="N134" s="147" t="s">
        <v>342</v>
      </c>
      <c r="O134" s="147" t="s">
        <v>312</v>
      </c>
    </row>
    <row r="135" spans="1:15" s="65" customFormat="1" ht="51.75" customHeight="1" x14ac:dyDescent="0.3">
      <c r="A135" s="185">
        <v>134</v>
      </c>
      <c r="B135" s="147" t="s">
        <v>5</v>
      </c>
      <c r="C135" s="147" t="s">
        <v>348</v>
      </c>
      <c r="D135" s="147" t="s">
        <v>194</v>
      </c>
      <c r="E135" s="147" t="s">
        <v>18</v>
      </c>
      <c r="F135" s="145">
        <v>45071</v>
      </c>
      <c r="G135" s="52" t="s">
        <v>19</v>
      </c>
      <c r="H135" s="143">
        <v>0</v>
      </c>
      <c r="I135" s="162">
        <v>9</v>
      </c>
      <c r="J135" s="34">
        <v>13</v>
      </c>
      <c r="K135" s="34">
        <v>0</v>
      </c>
      <c r="L135" s="34">
        <f t="shared" si="6"/>
        <v>22</v>
      </c>
      <c r="M135" s="147" t="s">
        <v>33</v>
      </c>
      <c r="N135" s="147" t="s">
        <v>118</v>
      </c>
      <c r="O135" s="147" t="s">
        <v>349</v>
      </c>
    </row>
    <row r="136" spans="1:15" s="64" customFormat="1" ht="76.5" customHeight="1" x14ac:dyDescent="0.3">
      <c r="A136" s="185">
        <v>135</v>
      </c>
      <c r="B136" s="147" t="s">
        <v>5</v>
      </c>
      <c r="C136" s="147" t="s">
        <v>321</v>
      </c>
      <c r="D136" s="147" t="s">
        <v>193</v>
      </c>
      <c r="E136" s="147" t="s">
        <v>18</v>
      </c>
      <c r="F136" s="145">
        <v>45072</v>
      </c>
      <c r="G136" s="147" t="s">
        <v>313</v>
      </c>
      <c r="H136" s="22">
        <v>30</v>
      </c>
      <c r="I136" s="162">
        <v>76</v>
      </c>
      <c r="J136" s="34">
        <v>64</v>
      </c>
      <c r="K136" s="34">
        <v>1</v>
      </c>
      <c r="L136" s="34">
        <f t="shared" si="6"/>
        <v>171</v>
      </c>
      <c r="M136" s="147" t="s">
        <v>33</v>
      </c>
      <c r="N136" s="52" t="s">
        <v>118</v>
      </c>
      <c r="O136" s="52" t="s">
        <v>350</v>
      </c>
    </row>
    <row r="137" spans="1:15" s="64" customFormat="1" ht="75" customHeight="1" x14ac:dyDescent="0.3">
      <c r="A137" s="185">
        <v>136</v>
      </c>
      <c r="B137" s="147" t="s">
        <v>15</v>
      </c>
      <c r="C137" s="147" t="s">
        <v>352</v>
      </c>
      <c r="D137" s="147" t="s">
        <v>194</v>
      </c>
      <c r="E137" s="147" t="s">
        <v>18</v>
      </c>
      <c r="F137" s="145">
        <v>45072</v>
      </c>
      <c r="G137" s="52" t="s">
        <v>19</v>
      </c>
      <c r="H137" s="22">
        <v>0</v>
      </c>
      <c r="I137" s="22">
        <v>3</v>
      </c>
      <c r="J137" s="22">
        <v>23</v>
      </c>
      <c r="K137" s="22">
        <v>0</v>
      </c>
      <c r="L137" s="22">
        <f t="shared" si="6"/>
        <v>26</v>
      </c>
      <c r="M137" s="147" t="s">
        <v>353</v>
      </c>
      <c r="N137" s="147" t="s">
        <v>118</v>
      </c>
      <c r="O137" s="147" t="s">
        <v>354</v>
      </c>
    </row>
    <row r="138" spans="1:15" s="64" customFormat="1" ht="72.75" customHeight="1" x14ac:dyDescent="0.3">
      <c r="A138" s="185">
        <v>137</v>
      </c>
      <c r="B138" s="147" t="s">
        <v>93</v>
      </c>
      <c r="C138" s="147" t="s">
        <v>323</v>
      </c>
      <c r="D138" s="147" t="s">
        <v>193</v>
      </c>
      <c r="E138" s="147" t="s">
        <v>18</v>
      </c>
      <c r="F138" s="145" t="s">
        <v>873</v>
      </c>
      <c r="G138" s="147" t="s">
        <v>322</v>
      </c>
      <c r="H138" s="147">
        <v>1</v>
      </c>
      <c r="I138" s="147">
        <v>1</v>
      </c>
      <c r="J138" s="147">
        <v>9</v>
      </c>
      <c r="K138" s="147">
        <v>0</v>
      </c>
      <c r="L138" s="147">
        <f t="shared" si="6"/>
        <v>11</v>
      </c>
      <c r="M138" s="147" t="s">
        <v>29</v>
      </c>
      <c r="N138" s="52" t="s">
        <v>1</v>
      </c>
      <c r="O138" s="52" t="s">
        <v>351</v>
      </c>
    </row>
    <row r="139" spans="1:15" ht="86.25" customHeight="1" x14ac:dyDescent="0.3">
      <c r="A139" s="185">
        <v>138</v>
      </c>
      <c r="B139" s="147" t="s">
        <v>17</v>
      </c>
      <c r="C139" s="147" t="s">
        <v>317</v>
      </c>
      <c r="D139" s="147" t="s">
        <v>68</v>
      </c>
      <c r="E139" s="147" t="s">
        <v>18</v>
      </c>
      <c r="F139" s="145">
        <v>45073</v>
      </c>
      <c r="G139" s="147" t="s">
        <v>318</v>
      </c>
      <c r="H139" s="147">
        <v>10</v>
      </c>
      <c r="I139" s="147">
        <v>21</v>
      </c>
      <c r="J139" s="147">
        <v>72</v>
      </c>
      <c r="K139" s="147">
        <v>5</v>
      </c>
      <c r="L139" s="147">
        <f t="shared" si="6"/>
        <v>108</v>
      </c>
      <c r="M139" s="147" t="s">
        <v>86</v>
      </c>
      <c r="N139" s="52" t="s">
        <v>118</v>
      </c>
      <c r="O139" s="52" t="s">
        <v>320</v>
      </c>
    </row>
    <row r="140" spans="1:15" s="60" customFormat="1" ht="204.75" customHeight="1" x14ac:dyDescent="0.3">
      <c r="A140" s="185">
        <v>139</v>
      </c>
      <c r="B140" s="147" t="s">
        <v>340</v>
      </c>
      <c r="C140" s="147" t="s">
        <v>341</v>
      </c>
      <c r="D140" s="147" t="s">
        <v>162</v>
      </c>
      <c r="E140" s="147" t="s">
        <v>18</v>
      </c>
      <c r="F140" s="145">
        <v>45073</v>
      </c>
      <c r="G140" s="147" t="s">
        <v>345</v>
      </c>
      <c r="H140" s="147">
        <v>0</v>
      </c>
      <c r="I140" s="147">
        <v>3</v>
      </c>
      <c r="J140" s="147">
        <v>10</v>
      </c>
      <c r="K140" s="147">
        <v>0</v>
      </c>
      <c r="L140" s="147">
        <f t="shared" si="6"/>
        <v>13</v>
      </c>
      <c r="M140" s="147" t="s">
        <v>28</v>
      </c>
      <c r="N140" s="147" t="s">
        <v>342</v>
      </c>
      <c r="O140" s="147" t="s">
        <v>346</v>
      </c>
    </row>
    <row r="141" spans="1:15" s="60" customFormat="1" ht="75" customHeight="1" x14ac:dyDescent="0.3">
      <c r="A141" s="185">
        <v>140</v>
      </c>
      <c r="B141" s="147" t="s">
        <v>340</v>
      </c>
      <c r="C141" s="147" t="s">
        <v>343</v>
      </c>
      <c r="D141" s="147" t="s">
        <v>162</v>
      </c>
      <c r="E141" s="147" t="s">
        <v>18</v>
      </c>
      <c r="F141" s="145">
        <v>45074</v>
      </c>
      <c r="G141" s="147" t="s">
        <v>345</v>
      </c>
      <c r="H141" s="147">
        <v>0</v>
      </c>
      <c r="I141" s="147">
        <v>3</v>
      </c>
      <c r="J141" s="147">
        <v>19</v>
      </c>
      <c r="K141" s="147">
        <v>0</v>
      </c>
      <c r="L141" s="147">
        <f t="shared" si="6"/>
        <v>22</v>
      </c>
      <c r="M141" s="147" t="s">
        <v>28</v>
      </c>
      <c r="N141" s="147" t="s">
        <v>342</v>
      </c>
      <c r="O141" s="147" t="s">
        <v>347</v>
      </c>
    </row>
    <row r="142" spans="1:15" s="60" customFormat="1" ht="149.25" customHeight="1" x14ac:dyDescent="0.3">
      <c r="A142" s="185">
        <v>141</v>
      </c>
      <c r="B142" s="147" t="s">
        <v>340</v>
      </c>
      <c r="C142" s="147" t="s">
        <v>344</v>
      </c>
      <c r="D142" s="147" t="s">
        <v>162</v>
      </c>
      <c r="E142" s="147" t="s">
        <v>18</v>
      </c>
      <c r="F142" s="145">
        <v>45075</v>
      </c>
      <c r="G142" s="147" t="s">
        <v>345</v>
      </c>
      <c r="H142" s="147">
        <v>0</v>
      </c>
      <c r="I142" s="147">
        <v>1</v>
      </c>
      <c r="J142" s="147">
        <v>9</v>
      </c>
      <c r="K142" s="147">
        <v>0</v>
      </c>
      <c r="L142" s="147">
        <f t="shared" si="6"/>
        <v>10</v>
      </c>
      <c r="M142" s="147" t="s">
        <v>28</v>
      </c>
      <c r="N142" s="147" t="s">
        <v>342</v>
      </c>
      <c r="O142" s="147" t="s">
        <v>605</v>
      </c>
    </row>
    <row r="143" spans="1:15" s="41" customFormat="1" ht="63" customHeight="1" x14ac:dyDescent="0.3">
      <c r="A143" s="185">
        <v>142</v>
      </c>
      <c r="B143" s="147" t="s">
        <v>38</v>
      </c>
      <c r="C143" s="147" t="s">
        <v>335</v>
      </c>
      <c r="D143" s="147" t="s">
        <v>194</v>
      </c>
      <c r="E143" s="147" t="s">
        <v>18</v>
      </c>
      <c r="F143" s="145">
        <v>45075</v>
      </c>
      <c r="G143" s="147" t="s">
        <v>19</v>
      </c>
      <c r="H143" s="147">
        <v>4</v>
      </c>
      <c r="I143" s="147">
        <v>28</v>
      </c>
      <c r="J143" s="147">
        <v>75</v>
      </c>
      <c r="K143" s="147">
        <v>0</v>
      </c>
      <c r="L143" s="147">
        <f>SUM(I143:K143)</f>
        <v>103</v>
      </c>
      <c r="M143" s="147" t="s">
        <v>28</v>
      </c>
      <c r="N143" s="147" t="s">
        <v>118</v>
      </c>
      <c r="O143" s="147" t="s">
        <v>334</v>
      </c>
    </row>
    <row r="144" spans="1:15" ht="36.75" customHeight="1" x14ac:dyDescent="0.3">
      <c r="A144" s="185">
        <v>143</v>
      </c>
      <c r="B144" s="147" t="s">
        <v>93</v>
      </c>
      <c r="C144" s="147" t="s">
        <v>324</v>
      </c>
      <c r="D144" s="147" t="s">
        <v>162</v>
      </c>
      <c r="E144" s="147" t="s">
        <v>18</v>
      </c>
      <c r="F144" s="145">
        <v>45076</v>
      </c>
      <c r="G144" s="66" t="s">
        <v>358</v>
      </c>
      <c r="H144" s="66">
        <v>0</v>
      </c>
      <c r="I144" s="66">
        <v>32</v>
      </c>
      <c r="J144" s="66">
        <v>61</v>
      </c>
      <c r="K144" s="66">
        <v>0</v>
      </c>
      <c r="L144" s="66">
        <f t="shared" ref="L144:L151" si="7">SUM(H144:K144)</f>
        <v>93</v>
      </c>
      <c r="M144" s="147" t="s">
        <v>29</v>
      </c>
      <c r="N144" s="147" t="s">
        <v>1</v>
      </c>
      <c r="O144" s="147" t="s">
        <v>357</v>
      </c>
    </row>
    <row r="145" spans="1:187" s="64" customFormat="1" ht="60" x14ac:dyDescent="0.3">
      <c r="A145" s="185">
        <v>144</v>
      </c>
      <c r="B145" s="147" t="s">
        <v>15</v>
      </c>
      <c r="C145" s="147" t="s">
        <v>355</v>
      </c>
      <c r="D145" s="147" t="s">
        <v>194</v>
      </c>
      <c r="E145" s="147" t="s">
        <v>18</v>
      </c>
      <c r="F145" s="145">
        <v>45076</v>
      </c>
      <c r="G145" s="66" t="s">
        <v>19</v>
      </c>
      <c r="H145" s="66">
        <v>0</v>
      </c>
      <c r="I145" s="66">
        <v>12</v>
      </c>
      <c r="J145" s="66">
        <v>53</v>
      </c>
      <c r="K145" s="66">
        <v>0</v>
      </c>
      <c r="L145" s="66">
        <f t="shared" si="7"/>
        <v>65</v>
      </c>
      <c r="M145" s="147" t="s">
        <v>133</v>
      </c>
      <c r="N145" s="147" t="s">
        <v>118</v>
      </c>
      <c r="O145" s="147" t="s">
        <v>356</v>
      </c>
    </row>
    <row r="146" spans="1:187" s="64" customFormat="1" ht="60" x14ac:dyDescent="0.3">
      <c r="A146" s="185">
        <v>145</v>
      </c>
      <c r="B146" s="147" t="s">
        <v>15</v>
      </c>
      <c r="C146" s="147" t="s">
        <v>445</v>
      </c>
      <c r="D146" s="147" t="s">
        <v>194</v>
      </c>
      <c r="E146" s="147" t="s">
        <v>18</v>
      </c>
      <c r="F146" s="145">
        <v>45082</v>
      </c>
      <c r="G146" s="147" t="s">
        <v>167</v>
      </c>
      <c r="H146" s="143">
        <v>0</v>
      </c>
      <c r="I146" s="162">
        <v>0</v>
      </c>
      <c r="J146" s="34">
        <v>21</v>
      </c>
      <c r="K146" s="34">
        <v>0</v>
      </c>
      <c r="L146" s="34">
        <f t="shared" si="7"/>
        <v>21</v>
      </c>
      <c r="M146" s="147" t="s">
        <v>133</v>
      </c>
      <c r="N146" s="147" t="s">
        <v>118</v>
      </c>
      <c r="O146" s="147" t="s">
        <v>446</v>
      </c>
      <c r="P146" s="128"/>
      <c r="Q146" s="128"/>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28"/>
      <c r="AX146" s="128"/>
      <c r="AY146" s="128"/>
      <c r="AZ146" s="128"/>
      <c r="BA146" s="128"/>
      <c r="BB146" s="128"/>
      <c r="BC146" s="128"/>
      <c r="BD146" s="128"/>
      <c r="BE146" s="128"/>
      <c r="BF146" s="128"/>
      <c r="BG146" s="128"/>
      <c r="BH146" s="128"/>
      <c r="BI146" s="128"/>
      <c r="BJ146" s="128"/>
      <c r="BK146" s="128"/>
      <c r="BL146" s="128"/>
      <c r="BM146" s="128"/>
      <c r="BN146" s="128"/>
      <c r="BO146" s="128"/>
      <c r="BP146" s="128"/>
      <c r="BQ146" s="128"/>
      <c r="BR146" s="128"/>
      <c r="BS146" s="128"/>
      <c r="BT146" s="128"/>
      <c r="BU146" s="128"/>
      <c r="BV146" s="128"/>
      <c r="BW146" s="128"/>
      <c r="BX146" s="128"/>
      <c r="BY146" s="128"/>
      <c r="BZ146" s="128"/>
      <c r="CA146" s="128"/>
      <c r="CB146" s="128"/>
      <c r="CC146" s="128"/>
      <c r="CD146" s="128"/>
      <c r="CE146" s="128"/>
      <c r="CF146" s="128"/>
      <c r="CG146" s="128"/>
      <c r="CH146" s="128"/>
      <c r="CI146" s="128"/>
      <c r="CJ146" s="128"/>
      <c r="CK146" s="128"/>
      <c r="CL146" s="128"/>
      <c r="CM146" s="128"/>
      <c r="CN146" s="128"/>
      <c r="CO146" s="128"/>
      <c r="CP146" s="128"/>
      <c r="CQ146" s="128"/>
      <c r="CR146" s="128"/>
      <c r="CS146" s="128"/>
      <c r="CT146" s="128"/>
      <c r="CU146" s="128"/>
      <c r="CV146" s="128"/>
      <c r="CW146" s="128"/>
    </row>
    <row r="147" spans="1:187" s="69" customFormat="1" ht="132" x14ac:dyDescent="0.3">
      <c r="A147" s="185">
        <v>146</v>
      </c>
      <c r="B147" s="147" t="s">
        <v>15</v>
      </c>
      <c r="C147" s="147" t="s">
        <v>360</v>
      </c>
      <c r="D147" s="147" t="s">
        <v>194</v>
      </c>
      <c r="E147" s="147" t="s">
        <v>18</v>
      </c>
      <c r="F147" s="145">
        <v>45083</v>
      </c>
      <c r="G147" s="66" t="s">
        <v>19</v>
      </c>
      <c r="H147" s="66">
        <v>1</v>
      </c>
      <c r="I147" s="66">
        <v>0</v>
      </c>
      <c r="J147" s="66">
        <v>9</v>
      </c>
      <c r="K147" s="66">
        <v>20</v>
      </c>
      <c r="L147" s="66">
        <f t="shared" si="7"/>
        <v>30</v>
      </c>
      <c r="M147" s="147" t="s">
        <v>31</v>
      </c>
      <c r="N147" s="147" t="s">
        <v>118</v>
      </c>
      <c r="O147" s="147" t="s">
        <v>359</v>
      </c>
      <c r="P147" s="128"/>
      <c r="Q147" s="128"/>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28"/>
      <c r="AX147" s="128"/>
      <c r="AY147" s="128"/>
      <c r="AZ147" s="128"/>
      <c r="BA147" s="128"/>
      <c r="BB147" s="128"/>
      <c r="BC147" s="128"/>
      <c r="BD147" s="128"/>
      <c r="BE147" s="128"/>
      <c r="BF147" s="128"/>
      <c r="BG147" s="128"/>
      <c r="BH147" s="128"/>
      <c r="BI147" s="128"/>
      <c r="BJ147" s="128"/>
      <c r="BK147" s="128"/>
      <c r="BL147" s="128"/>
      <c r="BM147" s="128"/>
      <c r="BN147" s="128"/>
      <c r="BO147" s="128"/>
      <c r="BP147" s="128"/>
      <c r="BQ147" s="128"/>
      <c r="BR147" s="128"/>
      <c r="BS147" s="128"/>
      <c r="BT147" s="128"/>
      <c r="BU147" s="128"/>
      <c r="BV147" s="128"/>
      <c r="BW147" s="128"/>
      <c r="BX147" s="128"/>
      <c r="BY147" s="128"/>
      <c r="BZ147" s="128"/>
      <c r="CA147" s="128"/>
      <c r="CB147" s="128"/>
      <c r="CC147" s="128"/>
      <c r="CD147" s="128"/>
      <c r="CE147" s="128"/>
      <c r="CF147" s="128"/>
      <c r="CG147" s="128"/>
      <c r="CH147" s="128"/>
      <c r="CI147" s="128"/>
      <c r="CJ147" s="128"/>
      <c r="CK147" s="128"/>
      <c r="CL147" s="128"/>
      <c r="CM147" s="128"/>
      <c r="CN147" s="128"/>
      <c r="CO147" s="128"/>
      <c r="CP147" s="128"/>
      <c r="CQ147" s="128"/>
      <c r="CR147" s="128"/>
      <c r="CS147" s="128"/>
      <c r="CT147" s="128"/>
      <c r="CU147" s="128"/>
      <c r="CV147" s="128"/>
      <c r="CW147" s="128"/>
      <c r="CX147" s="124"/>
      <c r="CY147" s="124"/>
      <c r="CZ147" s="124"/>
      <c r="DA147" s="124"/>
      <c r="DB147" s="124"/>
      <c r="DC147" s="124"/>
      <c r="DD147" s="124"/>
      <c r="DE147" s="124"/>
      <c r="DF147" s="124"/>
      <c r="DG147" s="124"/>
      <c r="DH147" s="124"/>
      <c r="DI147" s="124"/>
      <c r="DJ147" s="124"/>
      <c r="DK147" s="124"/>
      <c r="DL147" s="124"/>
      <c r="DM147" s="124"/>
      <c r="DN147" s="124"/>
      <c r="DO147" s="124"/>
      <c r="DP147" s="124"/>
      <c r="DQ147" s="124"/>
      <c r="DR147" s="124"/>
      <c r="DS147" s="124"/>
      <c r="DT147" s="124"/>
      <c r="DU147" s="124"/>
      <c r="DV147" s="124"/>
      <c r="DW147" s="124"/>
      <c r="DX147" s="124"/>
      <c r="DY147" s="124"/>
      <c r="DZ147" s="124"/>
      <c r="EA147" s="124"/>
      <c r="EB147" s="124"/>
      <c r="EC147" s="124"/>
      <c r="ED147" s="124"/>
      <c r="EE147" s="124"/>
      <c r="EF147" s="124"/>
      <c r="EG147" s="124"/>
      <c r="EH147" s="124"/>
      <c r="EI147" s="124"/>
      <c r="EJ147" s="124"/>
      <c r="EK147" s="124"/>
      <c r="EL147" s="124"/>
      <c r="EM147" s="124"/>
      <c r="EN147" s="124"/>
      <c r="EO147" s="124"/>
      <c r="EP147" s="124"/>
      <c r="EQ147" s="124"/>
      <c r="ER147" s="124"/>
      <c r="ES147" s="124"/>
      <c r="ET147" s="124"/>
      <c r="EU147" s="124"/>
      <c r="EV147" s="124"/>
      <c r="EW147" s="124"/>
      <c r="EX147" s="124"/>
      <c r="EY147" s="124"/>
      <c r="EZ147" s="124"/>
      <c r="FA147" s="124"/>
      <c r="FB147" s="124"/>
      <c r="FC147" s="124"/>
      <c r="FD147" s="124"/>
      <c r="FE147" s="124"/>
      <c r="FF147" s="124"/>
      <c r="FG147" s="124"/>
      <c r="FH147" s="124"/>
      <c r="FI147" s="124"/>
      <c r="FJ147" s="124"/>
      <c r="FK147" s="124"/>
      <c r="FL147" s="124"/>
      <c r="FM147" s="124"/>
      <c r="FN147" s="124"/>
      <c r="FO147" s="124"/>
      <c r="FP147" s="124"/>
      <c r="FQ147" s="124"/>
      <c r="FR147" s="124"/>
      <c r="FS147" s="124"/>
      <c r="FT147" s="124"/>
      <c r="FU147" s="124"/>
      <c r="FV147" s="124"/>
      <c r="FW147" s="124"/>
      <c r="FX147" s="124"/>
      <c r="FY147" s="124"/>
      <c r="FZ147" s="124"/>
      <c r="GA147" s="124"/>
      <c r="GB147" s="124"/>
      <c r="GC147" s="124"/>
      <c r="GD147" s="124"/>
      <c r="GE147" s="124"/>
    </row>
    <row r="148" spans="1:187" s="69" customFormat="1" ht="184.5" customHeight="1" x14ac:dyDescent="0.3">
      <c r="A148" s="185">
        <v>147</v>
      </c>
      <c r="B148" s="147" t="s">
        <v>25</v>
      </c>
      <c r="C148" s="147" t="s">
        <v>362</v>
      </c>
      <c r="D148" s="147" t="s">
        <v>194</v>
      </c>
      <c r="E148" s="147" t="s">
        <v>18</v>
      </c>
      <c r="F148" s="145">
        <v>45084</v>
      </c>
      <c r="G148" s="66" t="s">
        <v>19</v>
      </c>
      <c r="H148" s="66">
        <v>35</v>
      </c>
      <c r="I148" s="66">
        <v>57</v>
      </c>
      <c r="J148" s="66">
        <v>59</v>
      </c>
      <c r="K148" s="66">
        <v>0</v>
      </c>
      <c r="L148" s="66">
        <f t="shared" si="7"/>
        <v>151</v>
      </c>
      <c r="M148" s="147" t="s">
        <v>28</v>
      </c>
      <c r="N148" s="147" t="s">
        <v>118</v>
      </c>
      <c r="O148" s="147" t="s">
        <v>606</v>
      </c>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28"/>
      <c r="AX148" s="128"/>
      <c r="AY148" s="128"/>
      <c r="AZ148" s="128"/>
      <c r="BA148" s="128"/>
      <c r="BB148" s="128"/>
      <c r="BC148" s="128"/>
      <c r="BD148" s="128"/>
      <c r="BE148" s="128"/>
      <c r="BF148" s="128"/>
      <c r="BG148" s="128"/>
      <c r="BH148" s="128"/>
      <c r="BI148" s="128"/>
      <c r="BJ148" s="128"/>
      <c r="BK148" s="128"/>
      <c r="BL148" s="128"/>
      <c r="BM148" s="128"/>
      <c r="BN148" s="128"/>
      <c r="BO148" s="128"/>
      <c r="BP148" s="128"/>
      <c r="BQ148" s="128"/>
      <c r="BR148" s="128"/>
      <c r="BS148" s="128"/>
      <c r="BT148" s="128"/>
      <c r="BU148" s="128"/>
      <c r="BV148" s="128"/>
      <c r="BW148" s="128"/>
      <c r="BX148" s="128"/>
      <c r="BY148" s="128"/>
      <c r="BZ148" s="128"/>
      <c r="CA148" s="128"/>
      <c r="CB148" s="128"/>
      <c r="CC148" s="128"/>
      <c r="CD148" s="128"/>
      <c r="CE148" s="128"/>
      <c r="CF148" s="128"/>
      <c r="CG148" s="128"/>
      <c r="CH148" s="128"/>
      <c r="CI148" s="128"/>
      <c r="CJ148" s="128"/>
      <c r="CK148" s="128"/>
      <c r="CL148" s="128"/>
      <c r="CM148" s="128"/>
      <c r="CN148" s="128"/>
      <c r="CO148" s="125"/>
      <c r="CP148" s="125"/>
      <c r="CQ148" s="125"/>
      <c r="CR148" s="125"/>
      <c r="CS148" s="125"/>
      <c r="CT148" s="125"/>
      <c r="CU148" s="125"/>
      <c r="CV148" s="125"/>
      <c r="CW148" s="125"/>
      <c r="CX148" s="125"/>
      <c r="CY148" s="125"/>
      <c r="CZ148" s="125"/>
      <c r="DA148" s="125"/>
      <c r="DB148" s="125"/>
      <c r="DC148" s="125"/>
      <c r="DD148" s="125"/>
      <c r="DE148" s="125"/>
      <c r="DF148" s="125"/>
      <c r="DG148" s="125"/>
      <c r="DH148" s="125"/>
      <c r="DI148" s="125"/>
      <c r="DJ148" s="125"/>
      <c r="DK148" s="125"/>
      <c r="DL148" s="125"/>
      <c r="DM148" s="125"/>
      <c r="DN148" s="125"/>
      <c r="DO148" s="125"/>
      <c r="DP148" s="125"/>
      <c r="DQ148" s="125"/>
      <c r="DR148" s="125"/>
      <c r="DS148" s="125"/>
      <c r="DT148" s="125"/>
      <c r="DU148" s="125"/>
      <c r="DV148" s="125"/>
      <c r="DW148" s="125"/>
      <c r="DX148" s="125"/>
      <c r="DY148" s="125"/>
      <c r="DZ148" s="125"/>
      <c r="EA148" s="125"/>
      <c r="EB148" s="125"/>
      <c r="EC148" s="125"/>
      <c r="ED148" s="125"/>
      <c r="EE148" s="125"/>
      <c r="EF148" s="125"/>
      <c r="EG148" s="125"/>
      <c r="EH148" s="125"/>
      <c r="EI148" s="125"/>
      <c r="EJ148" s="125"/>
      <c r="EK148" s="125"/>
      <c r="EL148" s="125"/>
      <c r="EM148" s="125"/>
      <c r="EN148" s="125"/>
      <c r="EO148" s="125"/>
      <c r="EP148" s="125"/>
      <c r="EQ148" s="125"/>
      <c r="ER148" s="125"/>
      <c r="ES148" s="125"/>
      <c r="ET148" s="125"/>
      <c r="EU148" s="125"/>
      <c r="EV148" s="125"/>
      <c r="EW148" s="125"/>
      <c r="EX148" s="125"/>
      <c r="EY148" s="125"/>
      <c r="EZ148" s="125"/>
      <c r="FA148" s="125"/>
      <c r="FB148" s="125"/>
      <c r="FC148" s="125"/>
      <c r="FD148" s="125"/>
      <c r="FE148" s="125"/>
      <c r="FF148" s="125"/>
      <c r="FG148" s="125"/>
      <c r="FH148" s="125"/>
      <c r="FI148" s="125"/>
      <c r="FJ148" s="125"/>
      <c r="FK148" s="125"/>
      <c r="FL148" s="125"/>
      <c r="FM148" s="125"/>
      <c r="FN148" s="125"/>
      <c r="FO148" s="125"/>
      <c r="FP148" s="125"/>
      <c r="FQ148" s="125"/>
      <c r="FR148" s="125"/>
      <c r="FS148" s="125"/>
      <c r="FT148" s="125"/>
      <c r="FU148" s="125"/>
      <c r="FV148" s="125"/>
      <c r="FW148" s="125"/>
      <c r="FX148" s="125"/>
      <c r="FY148" s="125"/>
      <c r="FZ148" s="125"/>
      <c r="GA148" s="125"/>
      <c r="GB148" s="125"/>
      <c r="GC148" s="125"/>
      <c r="GD148" s="125"/>
      <c r="GE148" s="125"/>
    </row>
    <row r="149" spans="1:187" s="67" customFormat="1" ht="84" x14ac:dyDescent="0.3">
      <c r="A149" s="185">
        <v>148</v>
      </c>
      <c r="B149" s="147" t="s">
        <v>222</v>
      </c>
      <c r="C149" s="147" t="s">
        <v>361</v>
      </c>
      <c r="D149" s="147" t="s">
        <v>363</v>
      </c>
      <c r="E149" s="147" t="s">
        <v>18</v>
      </c>
      <c r="F149" s="145" t="s">
        <v>874</v>
      </c>
      <c r="G149" s="66" t="s">
        <v>649</v>
      </c>
      <c r="H149" s="66">
        <v>2</v>
      </c>
      <c r="I149" s="66">
        <v>5</v>
      </c>
      <c r="J149" s="66">
        <v>15</v>
      </c>
      <c r="K149" s="66">
        <v>1</v>
      </c>
      <c r="L149" s="66">
        <f t="shared" si="7"/>
        <v>23</v>
      </c>
      <c r="M149" s="147" t="s">
        <v>366</v>
      </c>
      <c r="N149" s="147" t="s">
        <v>342</v>
      </c>
      <c r="O149" s="147" t="s">
        <v>364</v>
      </c>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28"/>
      <c r="AX149" s="128"/>
      <c r="AY149" s="128"/>
      <c r="AZ149" s="128"/>
      <c r="BA149" s="128"/>
      <c r="BB149" s="128"/>
      <c r="BC149" s="128"/>
      <c r="BD149" s="128"/>
      <c r="BE149" s="128"/>
      <c r="BF149" s="128"/>
      <c r="BG149" s="128"/>
      <c r="BH149" s="128"/>
      <c r="BI149" s="128"/>
      <c r="BJ149" s="128"/>
      <c r="BK149" s="128"/>
      <c r="BL149" s="128"/>
      <c r="BM149" s="128"/>
      <c r="BN149" s="128"/>
      <c r="BO149" s="128"/>
      <c r="BP149" s="128"/>
      <c r="BQ149" s="128"/>
      <c r="BR149" s="128"/>
      <c r="BS149" s="128"/>
      <c r="BT149" s="128"/>
      <c r="BU149" s="128"/>
      <c r="BV149" s="128"/>
      <c r="BW149" s="128"/>
      <c r="BX149" s="128"/>
      <c r="BY149" s="128"/>
      <c r="BZ149" s="128"/>
      <c r="CA149" s="128"/>
      <c r="CB149" s="128"/>
      <c r="CC149" s="128"/>
      <c r="CD149" s="128"/>
      <c r="CE149" s="128"/>
      <c r="CF149" s="128"/>
      <c r="CG149" s="128"/>
      <c r="CH149" s="128"/>
      <c r="CI149" s="128"/>
      <c r="CJ149" s="128"/>
      <c r="CK149" s="128"/>
      <c r="CL149" s="128"/>
      <c r="CM149" s="128"/>
      <c r="CN149" s="128"/>
      <c r="CO149" s="126"/>
      <c r="CP149" s="126"/>
      <c r="CQ149" s="126"/>
      <c r="CR149" s="126"/>
      <c r="CS149" s="126"/>
      <c r="CT149" s="126"/>
      <c r="CU149" s="126"/>
      <c r="CV149" s="126"/>
      <c r="CW149" s="126"/>
      <c r="CX149" s="126"/>
      <c r="CY149" s="126"/>
      <c r="CZ149" s="126"/>
      <c r="DA149" s="126"/>
      <c r="DB149" s="126"/>
      <c r="DC149" s="126"/>
      <c r="DD149" s="126"/>
      <c r="DE149" s="126"/>
      <c r="DF149" s="126"/>
      <c r="DG149" s="126"/>
      <c r="DH149" s="126"/>
      <c r="DI149" s="126"/>
      <c r="DJ149" s="126"/>
      <c r="DK149" s="126"/>
      <c r="DL149" s="126"/>
      <c r="DM149" s="126"/>
      <c r="DN149" s="126"/>
      <c r="DO149" s="126"/>
      <c r="DP149" s="126"/>
      <c r="DQ149" s="126"/>
      <c r="DR149" s="126"/>
      <c r="DS149" s="126"/>
      <c r="DT149" s="126"/>
      <c r="DU149" s="126"/>
      <c r="DV149" s="126"/>
      <c r="DW149" s="126"/>
      <c r="DX149" s="126"/>
      <c r="DY149" s="126"/>
      <c r="DZ149" s="126"/>
      <c r="EA149" s="126"/>
      <c r="EB149" s="126"/>
      <c r="EC149" s="126"/>
      <c r="ED149" s="126"/>
      <c r="EE149" s="126"/>
      <c r="EF149" s="126"/>
      <c r="EG149" s="126"/>
      <c r="EH149" s="126"/>
      <c r="EI149" s="126"/>
      <c r="EJ149" s="126"/>
      <c r="EK149" s="126"/>
      <c r="EL149" s="126"/>
      <c r="EM149" s="126"/>
      <c r="EN149" s="126"/>
      <c r="EO149" s="126"/>
      <c r="EP149" s="126"/>
      <c r="EQ149" s="126"/>
      <c r="ER149" s="126"/>
      <c r="ES149" s="126"/>
      <c r="ET149" s="126"/>
      <c r="EU149" s="126"/>
      <c r="EV149" s="126"/>
      <c r="EW149" s="126"/>
      <c r="EX149" s="126"/>
      <c r="EY149" s="126"/>
      <c r="EZ149" s="126"/>
      <c r="FA149" s="126"/>
      <c r="FB149" s="126"/>
      <c r="FC149" s="126"/>
      <c r="FD149" s="126"/>
      <c r="FE149" s="126"/>
      <c r="FF149" s="126"/>
      <c r="FG149" s="126"/>
      <c r="FH149" s="126"/>
      <c r="FI149" s="126"/>
      <c r="FJ149" s="126"/>
      <c r="FK149" s="126"/>
      <c r="FL149" s="126"/>
      <c r="FM149" s="126"/>
      <c r="FN149" s="126"/>
      <c r="FO149" s="126"/>
      <c r="FP149" s="126"/>
      <c r="FQ149" s="126"/>
      <c r="FR149" s="126"/>
      <c r="FS149" s="126"/>
      <c r="FT149" s="126"/>
      <c r="FU149" s="126"/>
      <c r="FV149" s="126"/>
      <c r="FW149" s="126"/>
      <c r="FX149" s="126"/>
      <c r="FY149" s="126"/>
      <c r="FZ149" s="126"/>
      <c r="GA149" s="126"/>
      <c r="GB149" s="126"/>
      <c r="GC149" s="126"/>
      <c r="GD149" s="126"/>
      <c r="GE149" s="126"/>
    </row>
    <row r="150" spans="1:187" s="68" customFormat="1" ht="84" x14ac:dyDescent="0.3">
      <c r="A150" s="185">
        <v>149</v>
      </c>
      <c r="B150" s="147" t="s">
        <v>113</v>
      </c>
      <c r="C150" s="147" t="s">
        <v>365</v>
      </c>
      <c r="D150" s="147" t="s">
        <v>194</v>
      </c>
      <c r="E150" s="147" t="s">
        <v>18</v>
      </c>
      <c r="F150" s="145">
        <v>45086</v>
      </c>
      <c r="G150" s="66" t="s">
        <v>19</v>
      </c>
      <c r="H150" s="66">
        <v>0</v>
      </c>
      <c r="I150" s="66">
        <v>9</v>
      </c>
      <c r="J150" s="66">
        <v>9</v>
      </c>
      <c r="K150" s="66">
        <v>0</v>
      </c>
      <c r="L150" s="66">
        <f t="shared" si="7"/>
        <v>18</v>
      </c>
      <c r="M150" s="147" t="s">
        <v>49</v>
      </c>
      <c r="N150" s="147" t="s">
        <v>891</v>
      </c>
      <c r="O150" s="147" t="s">
        <v>897</v>
      </c>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c r="AK150" s="128"/>
      <c r="AL150" s="128"/>
      <c r="AM150" s="128"/>
      <c r="AN150" s="128"/>
      <c r="AO150" s="128"/>
      <c r="AP150" s="128"/>
      <c r="AQ150" s="128"/>
      <c r="AR150" s="128"/>
      <c r="AS150" s="128"/>
      <c r="AT150" s="128"/>
      <c r="AU150" s="128"/>
      <c r="AV150" s="128"/>
      <c r="AW150" s="128"/>
      <c r="AX150" s="128"/>
      <c r="AY150" s="128"/>
      <c r="AZ150" s="128"/>
      <c r="BA150" s="128"/>
      <c r="BB150" s="128"/>
      <c r="BC150" s="128"/>
      <c r="BD150" s="128"/>
      <c r="BE150" s="128"/>
      <c r="BF150" s="128"/>
      <c r="BG150" s="128"/>
      <c r="BH150" s="128"/>
      <c r="BI150" s="128"/>
      <c r="BJ150" s="128"/>
      <c r="BK150" s="128"/>
      <c r="BL150" s="128"/>
      <c r="BM150" s="128"/>
      <c r="BN150" s="128"/>
      <c r="BO150" s="128"/>
      <c r="BP150" s="128"/>
      <c r="BQ150" s="128"/>
      <c r="BR150" s="128"/>
      <c r="BS150" s="128"/>
      <c r="BT150" s="128"/>
      <c r="BU150" s="128"/>
      <c r="BV150" s="128"/>
      <c r="BW150" s="128"/>
      <c r="BX150" s="128"/>
      <c r="BY150" s="128"/>
      <c r="BZ150" s="128"/>
      <c r="CA150" s="128"/>
      <c r="CB150" s="128"/>
      <c r="CC150" s="128"/>
      <c r="CD150" s="128"/>
      <c r="CE150" s="128"/>
      <c r="CF150" s="128"/>
      <c r="CG150" s="128"/>
      <c r="CH150" s="128"/>
      <c r="CI150" s="128"/>
      <c r="CJ150" s="128"/>
      <c r="CK150" s="128"/>
      <c r="CL150" s="128"/>
      <c r="CM150" s="128"/>
      <c r="CN150" s="128"/>
      <c r="CO150" s="127"/>
      <c r="CP150" s="127"/>
      <c r="CQ150" s="127"/>
      <c r="CR150" s="127"/>
      <c r="CS150" s="127"/>
      <c r="CT150" s="127"/>
      <c r="CU150" s="127"/>
      <c r="CV150" s="127"/>
      <c r="CW150" s="127"/>
      <c r="CX150" s="127"/>
      <c r="CY150" s="127"/>
      <c r="CZ150" s="127"/>
      <c r="DA150" s="127"/>
      <c r="DB150" s="127"/>
      <c r="DC150" s="127"/>
      <c r="DD150" s="127"/>
      <c r="DE150" s="127"/>
      <c r="DF150" s="127"/>
      <c r="DG150" s="127"/>
      <c r="DH150" s="127"/>
      <c r="DI150" s="127"/>
      <c r="DJ150" s="127"/>
      <c r="DK150" s="127"/>
      <c r="DL150" s="127"/>
      <c r="DM150" s="127"/>
      <c r="DN150" s="127"/>
      <c r="DO150" s="127"/>
      <c r="DP150" s="127"/>
      <c r="DQ150" s="127"/>
      <c r="DR150" s="127"/>
      <c r="DS150" s="127"/>
      <c r="DT150" s="127"/>
      <c r="DU150" s="127"/>
      <c r="DV150" s="127"/>
      <c r="DW150" s="127"/>
      <c r="DX150" s="127"/>
      <c r="DY150" s="127"/>
      <c r="DZ150" s="127"/>
      <c r="EA150" s="127"/>
      <c r="EB150" s="127"/>
      <c r="EC150" s="127"/>
      <c r="ED150" s="127"/>
      <c r="EE150" s="127"/>
      <c r="EF150" s="127"/>
      <c r="EG150" s="127"/>
      <c r="EH150" s="127"/>
      <c r="EI150" s="127"/>
      <c r="EJ150" s="127"/>
      <c r="EK150" s="127"/>
      <c r="EL150" s="127"/>
      <c r="EM150" s="127"/>
      <c r="EN150" s="127"/>
      <c r="EO150" s="127"/>
      <c r="EP150" s="127"/>
      <c r="EQ150" s="127"/>
      <c r="ER150" s="127"/>
      <c r="ES150" s="127"/>
      <c r="ET150" s="127"/>
      <c r="EU150" s="127"/>
      <c r="EV150" s="127"/>
      <c r="EW150" s="127"/>
      <c r="EX150" s="127"/>
      <c r="EY150" s="127"/>
      <c r="EZ150" s="127"/>
      <c r="FA150" s="127"/>
      <c r="FB150" s="127"/>
      <c r="FC150" s="127"/>
      <c r="FD150" s="127"/>
      <c r="FE150" s="127"/>
      <c r="FF150" s="127"/>
      <c r="FG150" s="127"/>
      <c r="FH150" s="127"/>
      <c r="FI150" s="127"/>
      <c r="FJ150" s="127"/>
      <c r="FK150" s="127"/>
      <c r="FL150" s="127"/>
      <c r="FM150" s="127"/>
      <c r="FN150" s="127"/>
      <c r="FO150" s="127"/>
      <c r="FP150" s="127"/>
      <c r="FQ150" s="127"/>
      <c r="FR150" s="127"/>
      <c r="FS150" s="127"/>
      <c r="FT150" s="127"/>
      <c r="FU150" s="127"/>
      <c r="FV150" s="127"/>
      <c r="FW150" s="127"/>
      <c r="FX150" s="127"/>
      <c r="FY150" s="127"/>
      <c r="FZ150" s="127"/>
      <c r="GA150" s="127"/>
      <c r="GB150" s="127"/>
      <c r="GC150" s="127"/>
      <c r="GD150" s="127"/>
      <c r="GE150" s="127"/>
    </row>
    <row r="151" spans="1:187" ht="60" x14ac:dyDescent="0.3">
      <c r="A151" s="185">
        <v>150</v>
      </c>
      <c r="B151" s="34" t="s">
        <v>17</v>
      </c>
      <c r="C151" s="147" t="s">
        <v>389</v>
      </c>
      <c r="D151" s="147" t="s">
        <v>194</v>
      </c>
      <c r="E151" s="147" t="s">
        <v>18</v>
      </c>
      <c r="F151" s="89" t="s">
        <v>875</v>
      </c>
      <c r="G151" s="147" t="s">
        <v>167</v>
      </c>
      <c r="H151" s="147">
        <v>5</v>
      </c>
      <c r="I151" s="147">
        <v>20</v>
      </c>
      <c r="J151" s="147">
        <v>75</v>
      </c>
      <c r="K151" s="147">
        <v>0</v>
      </c>
      <c r="L151" s="147">
        <f t="shared" si="7"/>
        <v>100</v>
      </c>
      <c r="M151" s="147" t="s">
        <v>366</v>
      </c>
      <c r="N151" s="147" t="s">
        <v>118</v>
      </c>
      <c r="O151" s="147" t="s">
        <v>367</v>
      </c>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row>
    <row r="152" spans="1:187" s="80" customFormat="1" ht="36" x14ac:dyDescent="0.3">
      <c r="A152" s="185">
        <v>151</v>
      </c>
      <c r="B152" s="34" t="s">
        <v>17</v>
      </c>
      <c r="C152" s="147" t="s">
        <v>484</v>
      </c>
      <c r="D152" s="147" t="s">
        <v>194</v>
      </c>
      <c r="E152" s="147" t="s">
        <v>18</v>
      </c>
      <c r="F152" s="145" t="s">
        <v>875</v>
      </c>
      <c r="G152" s="147" t="s">
        <v>167</v>
      </c>
      <c r="H152" s="147">
        <v>1</v>
      </c>
      <c r="I152" s="147">
        <v>6</v>
      </c>
      <c r="J152" s="147">
        <v>19</v>
      </c>
      <c r="K152" s="147">
        <v>5</v>
      </c>
      <c r="L152" s="147">
        <f t="shared" ref="L152:L180" si="8">SUM(H152:K152)</f>
        <v>31</v>
      </c>
      <c r="M152" s="147" t="s">
        <v>30</v>
      </c>
      <c r="N152" s="147" t="s">
        <v>118</v>
      </c>
      <c r="O152" s="147" t="s">
        <v>485</v>
      </c>
      <c r="P152" s="128"/>
      <c r="Q152" s="128"/>
      <c r="R152" s="128"/>
      <c r="S152" s="128"/>
      <c r="T152" s="128"/>
      <c r="U152" s="128"/>
      <c r="V152" s="128"/>
      <c r="W152" s="128"/>
      <c r="X152" s="128"/>
      <c r="Y152" s="128"/>
      <c r="Z152" s="128"/>
      <c r="AA152" s="128"/>
      <c r="AB152" s="128"/>
      <c r="AC152" s="128"/>
      <c r="AD152" s="128"/>
      <c r="AE152" s="128"/>
      <c r="AF152" s="128"/>
      <c r="AG152" s="128"/>
      <c r="AH152" s="128"/>
      <c r="AI152" s="128"/>
      <c r="AJ152" s="128"/>
      <c r="AK152" s="128"/>
      <c r="AL152" s="128"/>
      <c r="AM152" s="128"/>
      <c r="AN152" s="128"/>
      <c r="AO152" s="128"/>
      <c r="AP152" s="128"/>
      <c r="AQ152" s="128"/>
      <c r="AR152" s="128"/>
      <c r="AS152" s="128"/>
      <c r="AT152" s="128"/>
      <c r="AU152" s="128"/>
      <c r="AV152" s="128"/>
      <c r="AW152" s="128"/>
      <c r="AX152" s="128"/>
      <c r="AY152" s="128"/>
      <c r="AZ152" s="128"/>
      <c r="BA152" s="128"/>
      <c r="BB152" s="128"/>
      <c r="BC152" s="128"/>
      <c r="BD152" s="128"/>
      <c r="BE152" s="128"/>
      <c r="BF152" s="128"/>
      <c r="BG152" s="128"/>
      <c r="BH152" s="128"/>
      <c r="BI152" s="128"/>
      <c r="BJ152" s="128"/>
      <c r="BK152" s="128"/>
      <c r="BL152" s="128"/>
      <c r="BM152" s="128"/>
      <c r="BN152" s="128"/>
      <c r="BO152" s="128"/>
      <c r="BP152" s="128"/>
      <c r="BQ152" s="128"/>
      <c r="BR152" s="128"/>
      <c r="BS152" s="128"/>
      <c r="BT152" s="128"/>
      <c r="BU152" s="128"/>
      <c r="BV152" s="128"/>
      <c r="BW152" s="128"/>
      <c r="BX152" s="128"/>
      <c r="BY152" s="128"/>
      <c r="BZ152" s="128"/>
      <c r="CA152" s="128"/>
      <c r="CB152" s="128"/>
      <c r="CC152" s="128"/>
      <c r="CD152" s="128"/>
      <c r="CE152" s="128"/>
      <c r="CF152" s="128"/>
      <c r="CG152" s="128"/>
      <c r="CH152" s="128"/>
      <c r="CI152" s="128"/>
      <c r="CJ152" s="128"/>
      <c r="CK152" s="128"/>
      <c r="CL152" s="128"/>
      <c r="CM152" s="128"/>
      <c r="CN152" s="128"/>
    </row>
    <row r="153" spans="1:187" ht="60" x14ac:dyDescent="0.3">
      <c r="A153" s="185">
        <v>152</v>
      </c>
      <c r="B153" s="147" t="s">
        <v>15</v>
      </c>
      <c r="C153" s="147" t="s">
        <v>369</v>
      </c>
      <c r="D153" s="147" t="s">
        <v>194</v>
      </c>
      <c r="E153" s="147" t="s">
        <v>18</v>
      </c>
      <c r="F153" s="145" t="s">
        <v>876</v>
      </c>
      <c r="G153" s="147" t="s">
        <v>167</v>
      </c>
      <c r="H153" s="147">
        <v>7</v>
      </c>
      <c r="I153" s="147">
        <v>3</v>
      </c>
      <c r="J153" s="147">
        <v>15</v>
      </c>
      <c r="K153" s="147">
        <v>75</v>
      </c>
      <c r="L153" s="147">
        <f t="shared" si="8"/>
        <v>100</v>
      </c>
      <c r="M153" s="147" t="s">
        <v>375</v>
      </c>
      <c r="N153" s="147" t="s">
        <v>118</v>
      </c>
      <c r="O153" s="147" t="s">
        <v>368</v>
      </c>
      <c r="P153" s="128"/>
      <c r="Q153" s="128"/>
      <c r="R153" s="128"/>
      <c r="S153" s="128"/>
      <c r="T153" s="128"/>
      <c r="U153" s="128"/>
      <c r="V153" s="128"/>
      <c r="W153" s="128"/>
      <c r="X153" s="128"/>
      <c r="Y153" s="128"/>
      <c r="Z153" s="128"/>
      <c r="AA153" s="128"/>
      <c r="AB153" s="128"/>
      <c r="AC153" s="128"/>
      <c r="AD153" s="128"/>
      <c r="AE153" s="128"/>
      <c r="AF153" s="128"/>
      <c r="AG153" s="128"/>
      <c r="AH153" s="128"/>
      <c r="AI153" s="128"/>
      <c r="AJ153" s="128"/>
      <c r="AK153" s="128"/>
      <c r="AL153" s="128"/>
      <c r="AM153" s="128"/>
      <c r="AN153" s="128"/>
      <c r="AO153" s="128"/>
      <c r="AP153" s="128"/>
      <c r="AQ153" s="128"/>
      <c r="AR153" s="128"/>
      <c r="AS153" s="128"/>
      <c r="AT153" s="128"/>
      <c r="AU153" s="128"/>
      <c r="AV153" s="128"/>
      <c r="AW153" s="128"/>
      <c r="AX153" s="128"/>
      <c r="AY153" s="128"/>
      <c r="AZ153" s="128"/>
      <c r="BA153" s="128"/>
      <c r="BB153" s="128"/>
      <c r="BC153" s="128"/>
      <c r="BD153" s="128"/>
      <c r="BE153" s="128"/>
      <c r="BF153" s="128"/>
      <c r="BG153" s="128"/>
      <c r="BH153" s="128"/>
      <c r="BI153" s="128"/>
      <c r="BJ153" s="128"/>
      <c r="BK153" s="128"/>
      <c r="BL153" s="128"/>
      <c r="BM153" s="128"/>
      <c r="BN153" s="128"/>
      <c r="BO153" s="128"/>
      <c r="BP153" s="128"/>
      <c r="BQ153" s="128"/>
      <c r="BR153" s="128"/>
      <c r="BS153" s="128"/>
      <c r="BT153" s="128"/>
      <c r="BU153" s="128"/>
      <c r="BV153" s="128"/>
      <c r="BW153" s="128"/>
      <c r="BX153" s="128"/>
      <c r="BY153" s="128"/>
      <c r="BZ153" s="128"/>
      <c r="CA153" s="128"/>
      <c r="CB153" s="128"/>
      <c r="CC153" s="128"/>
      <c r="CD153" s="128"/>
      <c r="CE153" s="128"/>
      <c r="CF153" s="128"/>
      <c r="CG153" s="128"/>
      <c r="CH153" s="128"/>
      <c r="CI153" s="128"/>
      <c r="CJ153" s="128"/>
      <c r="CK153" s="128"/>
      <c r="CL153" s="128"/>
      <c r="CM153" s="128"/>
      <c r="CN153" s="128"/>
    </row>
    <row r="154" spans="1:187" s="136" customFormat="1" ht="387.75" customHeight="1" x14ac:dyDescent="0.3">
      <c r="A154" s="185">
        <v>153</v>
      </c>
      <c r="B154" s="140" t="s">
        <v>93</v>
      </c>
      <c r="C154" s="140" t="s">
        <v>376</v>
      </c>
      <c r="D154" s="159" t="s">
        <v>3</v>
      </c>
      <c r="E154" s="140" t="s">
        <v>18</v>
      </c>
      <c r="F154" s="134" t="s">
        <v>877</v>
      </c>
      <c r="G154" s="140" t="s">
        <v>167</v>
      </c>
      <c r="H154" s="140">
        <v>41</v>
      </c>
      <c r="I154" s="140">
        <v>0</v>
      </c>
      <c r="J154" s="140">
        <v>30</v>
      </c>
      <c r="K154" s="140">
        <v>0</v>
      </c>
      <c r="L154" s="140">
        <f t="shared" si="8"/>
        <v>71</v>
      </c>
      <c r="M154" s="140" t="s">
        <v>34</v>
      </c>
      <c r="N154" s="140" t="s">
        <v>118</v>
      </c>
      <c r="O154" s="140" t="s">
        <v>441</v>
      </c>
      <c r="P154" s="149"/>
      <c r="Q154" s="149"/>
      <c r="R154" s="149"/>
      <c r="S154" s="149"/>
      <c r="T154" s="149"/>
      <c r="U154" s="149"/>
      <c r="V154" s="149"/>
      <c r="W154" s="149"/>
      <c r="X154" s="149"/>
      <c r="Y154" s="149"/>
      <c r="Z154" s="149"/>
      <c r="AA154" s="149"/>
      <c r="AB154" s="149"/>
      <c r="AC154" s="149"/>
      <c r="AD154" s="149"/>
      <c r="AE154" s="149"/>
      <c r="AF154" s="149"/>
      <c r="AG154" s="149"/>
      <c r="AH154" s="149"/>
      <c r="AI154" s="149"/>
      <c r="AJ154" s="149"/>
      <c r="AK154" s="149"/>
      <c r="AL154" s="149"/>
      <c r="AM154" s="149"/>
      <c r="AN154" s="149"/>
      <c r="AO154" s="149"/>
      <c r="AP154" s="149"/>
      <c r="AQ154" s="149"/>
      <c r="AR154" s="149"/>
      <c r="AS154" s="149"/>
      <c r="AT154" s="149"/>
      <c r="AU154" s="149"/>
      <c r="AV154" s="149"/>
      <c r="AW154" s="149"/>
      <c r="AX154" s="149"/>
      <c r="AY154" s="149"/>
      <c r="AZ154" s="149"/>
      <c r="BA154" s="149"/>
      <c r="BB154" s="149"/>
      <c r="BC154" s="149"/>
      <c r="BD154" s="149"/>
      <c r="BE154" s="149"/>
      <c r="BF154" s="149"/>
      <c r="BG154" s="149"/>
      <c r="BH154" s="149"/>
      <c r="BI154" s="149"/>
      <c r="BJ154" s="149"/>
      <c r="BK154" s="149"/>
      <c r="BL154" s="149"/>
      <c r="BM154" s="149"/>
      <c r="BN154" s="149"/>
      <c r="BO154" s="149"/>
      <c r="BP154" s="149"/>
      <c r="BQ154" s="149"/>
      <c r="BR154" s="149"/>
      <c r="BS154" s="149"/>
      <c r="BT154" s="149"/>
      <c r="BU154" s="149"/>
      <c r="BV154" s="149"/>
      <c r="BW154" s="149"/>
      <c r="BX154" s="149"/>
      <c r="BY154" s="149"/>
      <c r="BZ154" s="149"/>
      <c r="CA154" s="149"/>
      <c r="CB154" s="149"/>
      <c r="CC154" s="149"/>
      <c r="CD154" s="149"/>
      <c r="CE154" s="149"/>
      <c r="CF154" s="149"/>
      <c r="CG154" s="149"/>
      <c r="CH154" s="149"/>
      <c r="CI154" s="149"/>
      <c r="CJ154" s="149"/>
      <c r="CK154" s="149"/>
      <c r="CL154" s="149"/>
      <c r="CM154" s="149"/>
      <c r="CN154" s="149"/>
    </row>
    <row r="155" spans="1:187" s="31" customFormat="1" ht="64.5" customHeight="1" x14ac:dyDescent="0.3">
      <c r="A155" s="185">
        <v>154</v>
      </c>
      <c r="B155" s="140" t="s">
        <v>383</v>
      </c>
      <c r="C155" s="140" t="s">
        <v>384</v>
      </c>
      <c r="D155" s="159" t="s">
        <v>194</v>
      </c>
      <c r="E155" s="140" t="s">
        <v>18</v>
      </c>
      <c r="F155" s="145">
        <v>45097</v>
      </c>
      <c r="G155" s="140" t="s">
        <v>19</v>
      </c>
      <c r="H155" s="140">
        <v>0</v>
      </c>
      <c r="I155" s="140">
        <v>0</v>
      </c>
      <c r="J155" s="140">
        <v>46</v>
      </c>
      <c r="K155" s="140">
        <v>0</v>
      </c>
      <c r="L155" s="140">
        <f t="shared" si="8"/>
        <v>46</v>
      </c>
      <c r="M155" s="140" t="s">
        <v>29</v>
      </c>
      <c r="N155" s="140" t="s">
        <v>118</v>
      </c>
      <c r="O155" s="140" t="s">
        <v>442</v>
      </c>
      <c r="P155" s="128"/>
      <c r="Q155" s="128"/>
      <c r="R155" s="128"/>
      <c r="S155" s="128"/>
      <c r="T155" s="128"/>
      <c r="U155" s="128"/>
      <c r="V155" s="128"/>
      <c r="W155" s="128"/>
      <c r="X155" s="128"/>
      <c r="Y155" s="128"/>
      <c r="Z155" s="128"/>
      <c r="AA155" s="128"/>
      <c r="AB155" s="128"/>
      <c r="AC155" s="128"/>
      <c r="AD155" s="128"/>
      <c r="AE155" s="128"/>
      <c r="AF155" s="128"/>
      <c r="AG155" s="128"/>
      <c r="AH155" s="128"/>
      <c r="AI155" s="128"/>
      <c r="AJ155" s="128"/>
      <c r="AK155" s="128"/>
      <c r="AL155" s="128"/>
      <c r="AM155" s="128"/>
      <c r="AN155" s="128"/>
      <c r="AO155" s="128"/>
      <c r="AP155" s="128"/>
      <c r="AQ155" s="128"/>
      <c r="AR155" s="128"/>
      <c r="AS155" s="128"/>
      <c r="AT155" s="128"/>
      <c r="AU155" s="128"/>
      <c r="AV155" s="128"/>
      <c r="AW155" s="128"/>
      <c r="AX155" s="128"/>
      <c r="AY155" s="128"/>
      <c r="AZ155" s="128"/>
      <c r="BA155" s="128"/>
      <c r="BB155" s="128"/>
      <c r="BC155" s="128"/>
      <c r="BD155" s="128"/>
      <c r="BE155" s="128"/>
      <c r="BF155" s="128"/>
      <c r="BG155" s="128"/>
      <c r="BH155" s="128"/>
      <c r="BI155" s="128"/>
      <c r="BJ155" s="128"/>
      <c r="BK155" s="128"/>
      <c r="BL155" s="128"/>
      <c r="BM155" s="128"/>
      <c r="BN155" s="128"/>
      <c r="BO155" s="128"/>
      <c r="BP155" s="128"/>
      <c r="BQ155" s="128"/>
      <c r="BR155" s="128"/>
      <c r="BS155" s="128"/>
      <c r="BT155" s="128"/>
      <c r="BU155" s="128"/>
      <c r="BV155" s="128"/>
      <c r="BW155" s="128"/>
      <c r="BX155" s="128"/>
      <c r="BY155" s="128"/>
      <c r="BZ155" s="128"/>
      <c r="CA155" s="128"/>
      <c r="CB155" s="128"/>
      <c r="CC155" s="128"/>
      <c r="CD155" s="128"/>
      <c r="CE155" s="128"/>
      <c r="CF155" s="128"/>
      <c r="CG155" s="128"/>
      <c r="CH155" s="128"/>
      <c r="CI155" s="128"/>
      <c r="CJ155" s="128"/>
      <c r="CK155" s="128"/>
      <c r="CL155" s="128"/>
      <c r="CM155" s="128"/>
      <c r="CN155" s="128"/>
    </row>
    <row r="156" spans="1:187" s="31" customFormat="1" ht="100.5" customHeight="1" x14ac:dyDescent="0.3">
      <c r="A156" s="185">
        <v>155</v>
      </c>
      <c r="B156" s="140" t="s">
        <v>36</v>
      </c>
      <c r="C156" s="140" t="s">
        <v>371</v>
      </c>
      <c r="D156" s="147" t="s">
        <v>194</v>
      </c>
      <c r="E156" s="159" t="s">
        <v>18</v>
      </c>
      <c r="F156" s="145">
        <v>45099</v>
      </c>
      <c r="G156" s="132" t="s">
        <v>19</v>
      </c>
      <c r="H156" s="140">
        <v>0</v>
      </c>
      <c r="I156" s="140">
        <v>25</v>
      </c>
      <c r="J156" s="140">
        <v>91</v>
      </c>
      <c r="K156" s="140">
        <v>7</v>
      </c>
      <c r="L156" s="140">
        <f t="shared" si="8"/>
        <v>123</v>
      </c>
      <c r="M156" s="140" t="s">
        <v>372</v>
      </c>
      <c r="N156" s="140" t="s">
        <v>118</v>
      </c>
      <c r="O156" s="140" t="s">
        <v>373</v>
      </c>
      <c r="P156" s="128"/>
      <c r="Q156" s="128"/>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c r="BA156" s="128"/>
      <c r="BB156" s="128"/>
      <c r="BC156" s="128"/>
      <c r="BD156" s="128"/>
      <c r="BE156" s="128"/>
      <c r="BF156" s="128"/>
      <c r="BG156" s="128"/>
      <c r="BH156" s="128"/>
      <c r="BI156" s="128"/>
      <c r="BJ156" s="128"/>
      <c r="BK156" s="128"/>
      <c r="BL156" s="128"/>
      <c r="BM156" s="128"/>
      <c r="BN156" s="128"/>
      <c r="BO156" s="128"/>
      <c r="BP156" s="128"/>
      <c r="BQ156" s="128"/>
      <c r="BR156" s="128"/>
      <c r="BS156" s="128"/>
      <c r="BT156" s="128"/>
      <c r="BU156" s="128"/>
      <c r="BV156" s="128"/>
      <c r="BW156" s="128"/>
      <c r="BX156" s="128"/>
      <c r="BY156" s="128"/>
      <c r="BZ156" s="128"/>
      <c r="CA156" s="128"/>
      <c r="CB156" s="128"/>
      <c r="CC156" s="128"/>
      <c r="CD156" s="128"/>
      <c r="CE156" s="128"/>
      <c r="CF156" s="128"/>
      <c r="CG156" s="128"/>
      <c r="CH156" s="128"/>
      <c r="CI156" s="128"/>
      <c r="CJ156" s="128"/>
      <c r="CK156" s="128"/>
      <c r="CL156" s="128"/>
      <c r="CM156" s="128"/>
      <c r="CN156" s="128"/>
    </row>
    <row r="157" spans="1:187" s="31" customFormat="1" ht="138" customHeight="1" x14ac:dyDescent="0.3">
      <c r="A157" s="185">
        <v>156</v>
      </c>
      <c r="B157" s="140" t="s">
        <v>15</v>
      </c>
      <c r="C157" s="140" t="s">
        <v>379</v>
      </c>
      <c r="D157" s="147" t="s">
        <v>194</v>
      </c>
      <c r="E157" s="140" t="s">
        <v>18</v>
      </c>
      <c r="F157" s="145">
        <v>45100</v>
      </c>
      <c r="G157" s="132" t="s">
        <v>19</v>
      </c>
      <c r="H157" s="131">
        <v>30</v>
      </c>
      <c r="I157" s="158">
        <v>80</v>
      </c>
      <c r="J157" s="159">
        <v>170</v>
      </c>
      <c r="K157" s="159">
        <v>20</v>
      </c>
      <c r="L157" s="140">
        <f t="shared" si="8"/>
        <v>300</v>
      </c>
      <c r="M157" s="140" t="s">
        <v>28</v>
      </c>
      <c r="N157" s="140" t="s">
        <v>118</v>
      </c>
      <c r="O157" s="140" t="s">
        <v>378</v>
      </c>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row>
    <row r="158" spans="1:187" s="31" customFormat="1" ht="138" customHeight="1" x14ac:dyDescent="0.3">
      <c r="A158" s="185">
        <v>157</v>
      </c>
      <c r="B158" s="140" t="s">
        <v>15</v>
      </c>
      <c r="C158" s="140" t="s">
        <v>381</v>
      </c>
      <c r="D158" s="159" t="s">
        <v>194</v>
      </c>
      <c r="E158" s="140" t="s">
        <v>18</v>
      </c>
      <c r="F158" s="145">
        <v>45100</v>
      </c>
      <c r="G158" s="132" t="s">
        <v>19</v>
      </c>
      <c r="H158" s="131">
        <v>12</v>
      </c>
      <c r="I158" s="158">
        <v>83</v>
      </c>
      <c r="J158" s="159">
        <v>642</v>
      </c>
      <c r="K158" s="159">
        <v>12</v>
      </c>
      <c r="L158" s="140">
        <f t="shared" si="8"/>
        <v>749</v>
      </c>
      <c r="M158" s="140" t="s">
        <v>29</v>
      </c>
      <c r="N158" s="140" t="s">
        <v>118</v>
      </c>
      <c r="O158" s="140" t="s">
        <v>382</v>
      </c>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c r="BF158" s="128"/>
      <c r="BG158" s="128"/>
      <c r="BH158" s="128"/>
      <c r="BI158" s="128"/>
      <c r="BJ158" s="128"/>
      <c r="BK158" s="128"/>
      <c r="BL158" s="128"/>
      <c r="BM158" s="128"/>
      <c r="BN158" s="128"/>
      <c r="BO158" s="128"/>
      <c r="BP158" s="128"/>
      <c r="BQ158" s="128"/>
      <c r="BR158" s="128"/>
      <c r="BS158" s="128"/>
      <c r="BT158" s="128"/>
      <c r="BU158" s="128"/>
      <c r="BV158" s="128"/>
      <c r="BW158" s="128"/>
      <c r="BX158" s="128"/>
      <c r="BY158" s="128"/>
      <c r="BZ158" s="128"/>
      <c r="CA158" s="128"/>
      <c r="CB158" s="128"/>
      <c r="CC158" s="128"/>
      <c r="CD158" s="128"/>
      <c r="CE158" s="128"/>
      <c r="CF158" s="128"/>
      <c r="CG158" s="128"/>
      <c r="CH158" s="128"/>
      <c r="CI158" s="128"/>
      <c r="CJ158" s="128"/>
      <c r="CK158" s="128"/>
      <c r="CL158" s="128"/>
      <c r="CM158" s="128"/>
      <c r="CN158" s="128"/>
    </row>
    <row r="159" spans="1:187" s="31" customFormat="1" ht="120.75" customHeight="1" x14ac:dyDescent="0.3">
      <c r="A159" s="185">
        <v>158</v>
      </c>
      <c r="B159" s="140" t="s">
        <v>17</v>
      </c>
      <c r="C159" s="140" t="s">
        <v>377</v>
      </c>
      <c r="D159" s="159" t="s">
        <v>173</v>
      </c>
      <c r="E159" s="140" t="s">
        <v>18</v>
      </c>
      <c r="F159" s="145">
        <v>45101</v>
      </c>
      <c r="G159" s="132" t="s">
        <v>661</v>
      </c>
      <c r="H159" s="140">
        <v>0</v>
      </c>
      <c r="I159" s="140">
        <v>2</v>
      </c>
      <c r="J159" s="140">
        <v>4</v>
      </c>
      <c r="K159" s="140">
        <v>0</v>
      </c>
      <c r="L159" s="140">
        <f t="shared" si="8"/>
        <v>6</v>
      </c>
      <c r="M159" s="140" t="s">
        <v>366</v>
      </c>
      <c r="N159" s="140" t="s">
        <v>342</v>
      </c>
      <c r="O159" s="140" t="s">
        <v>660</v>
      </c>
      <c r="P159" s="128"/>
      <c r="Q159" s="128"/>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c r="BA159" s="128"/>
      <c r="BB159" s="128"/>
      <c r="BC159" s="128"/>
      <c r="BD159" s="128"/>
      <c r="BE159" s="128"/>
      <c r="BF159" s="128"/>
      <c r="BG159" s="128"/>
      <c r="BH159" s="128"/>
      <c r="BI159" s="128"/>
      <c r="BJ159" s="128"/>
      <c r="BK159" s="128"/>
      <c r="BL159" s="128"/>
      <c r="BM159" s="128"/>
      <c r="BN159" s="128"/>
      <c r="BO159" s="128"/>
      <c r="BP159" s="128"/>
      <c r="BQ159" s="128"/>
      <c r="BR159" s="128"/>
      <c r="BS159" s="128"/>
      <c r="BT159" s="128"/>
      <c r="BU159" s="128"/>
      <c r="BV159" s="128"/>
      <c r="BW159" s="128"/>
      <c r="BX159" s="128"/>
      <c r="BY159" s="128"/>
      <c r="BZ159" s="128"/>
      <c r="CA159" s="128"/>
      <c r="CB159" s="128"/>
      <c r="CC159" s="128"/>
      <c r="CD159" s="128"/>
      <c r="CE159" s="128"/>
      <c r="CF159" s="128"/>
      <c r="CG159" s="128"/>
      <c r="CH159" s="128"/>
      <c r="CI159" s="128"/>
      <c r="CJ159" s="128"/>
      <c r="CK159" s="128"/>
      <c r="CL159" s="128"/>
      <c r="CM159" s="128"/>
      <c r="CN159" s="128"/>
    </row>
    <row r="160" spans="1:187" ht="145.5" customHeight="1" x14ac:dyDescent="0.3">
      <c r="A160" s="185">
        <v>159</v>
      </c>
      <c r="B160" s="147" t="s">
        <v>36</v>
      </c>
      <c r="C160" s="147" t="s">
        <v>374</v>
      </c>
      <c r="D160" s="147" t="s">
        <v>194</v>
      </c>
      <c r="E160" s="140" t="s">
        <v>18</v>
      </c>
      <c r="F160" s="145" t="s">
        <v>878</v>
      </c>
      <c r="G160" s="147" t="s">
        <v>370</v>
      </c>
      <c r="H160" s="147">
        <v>0</v>
      </c>
      <c r="I160" s="147">
        <v>0</v>
      </c>
      <c r="J160" s="147">
        <v>50</v>
      </c>
      <c r="K160" s="147">
        <v>0</v>
      </c>
      <c r="L160" s="147">
        <f t="shared" si="8"/>
        <v>50</v>
      </c>
      <c r="M160" s="147" t="s">
        <v>380</v>
      </c>
      <c r="N160" s="147" t="s">
        <v>118</v>
      </c>
      <c r="O160" s="147" t="s">
        <v>662</v>
      </c>
      <c r="P160" s="128"/>
      <c r="Q160" s="128"/>
      <c r="R160" s="128"/>
      <c r="S160" s="128"/>
      <c r="T160" s="128"/>
      <c r="U160" s="128"/>
      <c r="V160" s="128"/>
      <c r="W160" s="128"/>
      <c r="X160" s="128"/>
      <c r="Y160" s="128"/>
      <c r="Z160" s="128"/>
      <c r="AA160" s="128"/>
      <c r="AB160" s="128"/>
      <c r="AC160" s="128"/>
      <c r="AD160" s="128"/>
      <c r="AE160" s="128"/>
      <c r="AF160" s="128"/>
      <c r="AG160" s="128"/>
      <c r="AH160" s="128"/>
      <c r="AI160" s="128"/>
      <c r="AJ160" s="128"/>
      <c r="AK160" s="128"/>
      <c r="AL160" s="128"/>
      <c r="AM160" s="128"/>
      <c r="AN160" s="128"/>
      <c r="AO160" s="128"/>
      <c r="AP160" s="128"/>
      <c r="AQ160" s="128"/>
      <c r="AR160" s="128"/>
      <c r="AS160" s="128"/>
      <c r="AT160" s="128"/>
      <c r="AU160" s="128"/>
      <c r="AV160" s="128"/>
      <c r="AW160" s="128"/>
      <c r="AX160" s="128"/>
      <c r="AY160" s="128"/>
      <c r="AZ160" s="128"/>
      <c r="BA160" s="128"/>
      <c r="BB160" s="128"/>
      <c r="BC160" s="128"/>
      <c r="BD160" s="128"/>
      <c r="BE160" s="128"/>
      <c r="BF160" s="128"/>
      <c r="BG160" s="128"/>
      <c r="BH160" s="128"/>
      <c r="BI160" s="128"/>
      <c r="BJ160" s="128"/>
      <c r="BK160" s="128"/>
      <c r="BL160" s="128"/>
      <c r="BM160" s="128"/>
      <c r="BN160" s="128"/>
      <c r="BO160" s="128"/>
      <c r="BP160" s="128"/>
      <c r="BQ160" s="128"/>
      <c r="BR160" s="128"/>
      <c r="BS160" s="128"/>
      <c r="BT160" s="128"/>
      <c r="BU160" s="128"/>
      <c r="BV160" s="128"/>
      <c r="BW160" s="128"/>
      <c r="BX160" s="128"/>
      <c r="BY160" s="128"/>
      <c r="BZ160" s="128"/>
      <c r="CA160" s="128"/>
      <c r="CB160" s="128"/>
      <c r="CC160" s="128"/>
      <c r="CD160" s="128"/>
      <c r="CE160" s="128"/>
      <c r="CF160" s="128"/>
      <c r="CG160" s="128"/>
      <c r="CH160" s="128"/>
      <c r="CI160" s="128"/>
      <c r="CJ160" s="128"/>
      <c r="CK160" s="128"/>
      <c r="CL160" s="128"/>
      <c r="CM160" s="128"/>
      <c r="CN160" s="128"/>
    </row>
    <row r="161" spans="1:92" ht="60" customHeight="1" x14ac:dyDescent="0.3">
      <c r="A161" s="185">
        <v>160</v>
      </c>
      <c r="B161" s="147" t="s">
        <v>383</v>
      </c>
      <c r="C161" s="147" t="s">
        <v>385</v>
      </c>
      <c r="D161" s="147" t="s">
        <v>194</v>
      </c>
      <c r="E161" s="140" t="s">
        <v>18</v>
      </c>
      <c r="F161" s="145">
        <v>45106</v>
      </c>
      <c r="G161" s="147" t="s">
        <v>19</v>
      </c>
      <c r="H161" s="147">
        <v>0</v>
      </c>
      <c r="I161" s="147">
        <v>0</v>
      </c>
      <c r="J161" s="147">
        <v>35</v>
      </c>
      <c r="K161" s="147">
        <v>0</v>
      </c>
      <c r="L161" s="147">
        <f t="shared" si="8"/>
        <v>35</v>
      </c>
      <c r="M161" s="147" t="s">
        <v>29</v>
      </c>
      <c r="N161" s="147" t="s">
        <v>118</v>
      </c>
      <c r="O161" s="147" t="s">
        <v>663</v>
      </c>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c r="BA161" s="128"/>
      <c r="BB161" s="128"/>
      <c r="BC161" s="128"/>
      <c r="BD161" s="128"/>
      <c r="BE161" s="128"/>
      <c r="BF161" s="128"/>
      <c r="BG161" s="128"/>
      <c r="BH161" s="128"/>
      <c r="BI161" s="128"/>
      <c r="BJ161" s="128"/>
      <c r="BK161" s="128"/>
      <c r="BL161" s="128"/>
      <c r="BM161" s="128"/>
      <c r="BN161" s="128"/>
      <c r="BO161" s="128"/>
      <c r="BP161" s="128"/>
      <c r="BQ161" s="128"/>
      <c r="BR161" s="128"/>
      <c r="BS161" s="128"/>
      <c r="BT161" s="128"/>
      <c r="BU161" s="128"/>
      <c r="BV161" s="128"/>
      <c r="BW161" s="128"/>
      <c r="BX161" s="128"/>
      <c r="BY161" s="128"/>
      <c r="BZ161" s="128"/>
      <c r="CA161" s="128"/>
      <c r="CB161" s="128"/>
      <c r="CC161" s="128"/>
      <c r="CD161" s="128"/>
      <c r="CE161" s="128"/>
      <c r="CF161" s="128"/>
      <c r="CG161" s="128"/>
      <c r="CH161" s="128"/>
      <c r="CI161" s="128"/>
      <c r="CJ161" s="128"/>
      <c r="CK161" s="128"/>
      <c r="CL161" s="128"/>
      <c r="CM161" s="128"/>
      <c r="CN161" s="128"/>
    </row>
    <row r="162" spans="1:92" ht="84" x14ac:dyDescent="0.3">
      <c r="A162" s="185">
        <v>161</v>
      </c>
      <c r="B162" s="140" t="s">
        <v>15</v>
      </c>
      <c r="C162" s="140" t="s">
        <v>386</v>
      </c>
      <c r="D162" s="147" t="s">
        <v>194</v>
      </c>
      <c r="E162" s="140" t="s">
        <v>18</v>
      </c>
      <c r="F162" s="145">
        <v>45106</v>
      </c>
      <c r="G162" s="140" t="s">
        <v>19</v>
      </c>
      <c r="H162" s="140">
        <v>5</v>
      </c>
      <c r="I162" s="140">
        <v>10</v>
      </c>
      <c r="J162" s="140">
        <v>43</v>
      </c>
      <c r="K162" s="140">
        <v>0</v>
      </c>
      <c r="L162" s="140">
        <f t="shared" si="8"/>
        <v>58</v>
      </c>
      <c r="M162" s="140" t="s">
        <v>664</v>
      </c>
      <c r="N162" s="147" t="s">
        <v>118</v>
      </c>
      <c r="O162" s="147" t="s">
        <v>387</v>
      </c>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28"/>
      <c r="AX162" s="128"/>
      <c r="AY162" s="128"/>
      <c r="AZ162" s="128"/>
      <c r="BA162" s="128"/>
      <c r="BB162" s="128"/>
      <c r="BC162" s="128"/>
      <c r="BD162" s="128"/>
      <c r="BE162" s="128"/>
      <c r="BF162" s="128"/>
      <c r="BG162" s="128"/>
      <c r="BH162" s="128"/>
      <c r="BI162" s="128"/>
      <c r="BJ162" s="128"/>
      <c r="BK162" s="128"/>
      <c r="BL162" s="128"/>
      <c r="BM162" s="128"/>
      <c r="BN162" s="128"/>
      <c r="BO162" s="128"/>
      <c r="BP162" s="128"/>
      <c r="BQ162" s="128"/>
      <c r="BR162" s="128"/>
      <c r="BS162" s="128"/>
      <c r="BT162" s="128"/>
      <c r="BU162" s="128"/>
      <c r="BV162" s="128"/>
      <c r="BW162" s="128"/>
      <c r="BX162" s="128"/>
      <c r="BY162" s="128"/>
      <c r="BZ162" s="128"/>
      <c r="CA162" s="128"/>
      <c r="CB162" s="128"/>
      <c r="CC162" s="128"/>
      <c r="CD162" s="128"/>
      <c r="CE162" s="128"/>
      <c r="CF162" s="128"/>
      <c r="CG162" s="128"/>
      <c r="CH162" s="128"/>
      <c r="CI162" s="128"/>
      <c r="CJ162" s="128"/>
      <c r="CK162" s="128"/>
      <c r="CL162" s="128"/>
      <c r="CM162" s="128"/>
      <c r="CN162" s="128"/>
    </row>
    <row r="163" spans="1:92" s="73" customFormat="1" ht="60" customHeight="1" x14ac:dyDescent="0.3">
      <c r="A163" s="185">
        <v>162</v>
      </c>
      <c r="B163" s="34" t="s">
        <v>394</v>
      </c>
      <c r="C163" s="18" t="s">
        <v>665</v>
      </c>
      <c r="D163" s="34" t="s">
        <v>194</v>
      </c>
      <c r="E163" s="34" t="s">
        <v>18</v>
      </c>
      <c r="F163" s="145">
        <v>45110</v>
      </c>
      <c r="G163" s="168" t="s">
        <v>395</v>
      </c>
      <c r="H163" s="140">
        <v>7</v>
      </c>
      <c r="I163" s="140">
        <v>96</v>
      </c>
      <c r="J163" s="140">
        <v>0</v>
      </c>
      <c r="K163" s="140">
        <v>0</v>
      </c>
      <c r="L163" s="140">
        <f t="shared" si="8"/>
        <v>103</v>
      </c>
      <c r="M163" s="147" t="s">
        <v>29</v>
      </c>
      <c r="N163" s="147" t="s">
        <v>118</v>
      </c>
      <c r="O163" s="147" t="s">
        <v>666</v>
      </c>
      <c r="P163" s="128"/>
      <c r="Q163" s="128"/>
      <c r="R163" s="128"/>
      <c r="S163" s="128"/>
      <c r="T163" s="128"/>
      <c r="U163" s="128"/>
      <c r="V163" s="128"/>
      <c r="W163" s="128"/>
      <c r="X163" s="128"/>
      <c r="Y163" s="128"/>
      <c r="Z163" s="128"/>
      <c r="AA163" s="128"/>
      <c r="AB163" s="128"/>
      <c r="AC163" s="128"/>
      <c r="AD163" s="128"/>
      <c r="AE163" s="128"/>
      <c r="AF163" s="128"/>
      <c r="AG163" s="128"/>
      <c r="AH163" s="128"/>
      <c r="AI163" s="128"/>
      <c r="AJ163" s="128"/>
      <c r="AK163" s="128"/>
      <c r="AL163" s="128"/>
      <c r="AM163" s="128"/>
      <c r="AN163" s="128"/>
      <c r="AO163" s="128"/>
      <c r="AP163" s="128"/>
      <c r="AQ163" s="128"/>
      <c r="AR163" s="128"/>
      <c r="AS163" s="128"/>
      <c r="AT163" s="128"/>
      <c r="AU163" s="128"/>
      <c r="AV163" s="128"/>
      <c r="AW163" s="128"/>
      <c r="AX163" s="128"/>
      <c r="AY163" s="128"/>
      <c r="AZ163" s="128"/>
      <c r="BA163" s="128"/>
      <c r="BB163" s="128"/>
      <c r="BC163" s="128"/>
      <c r="BD163" s="128"/>
      <c r="BE163" s="128"/>
      <c r="BF163" s="128"/>
      <c r="BG163" s="128"/>
      <c r="BH163" s="128"/>
      <c r="BI163" s="128"/>
      <c r="BJ163" s="128"/>
      <c r="BK163" s="128"/>
      <c r="BL163" s="128"/>
      <c r="BM163" s="128"/>
      <c r="BN163" s="128"/>
      <c r="BO163" s="128"/>
      <c r="BP163" s="128"/>
      <c r="BQ163" s="128"/>
      <c r="BR163" s="128"/>
      <c r="BS163" s="128"/>
      <c r="BT163" s="128"/>
      <c r="BU163" s="128"/>
      <c r="BV163" s="128"/>
      <c r="BW163" s="128"/>
      <c r="BX163" s="128"/>
      <c r="BY163" s="128"/>
      <c r="BZ163" s="128"/>
      <c r="CA163" s="128"/>
      <c r="CB163" s="128"/>
      <c r="CC163" s="128"/>
      <c r="CD163" s="128"/>
      <c r="CE163" s="128"/>
      <c r="CF163" s="128"/>
      <c r="CG163" s="128"/>
      <c r="CH163" s="128"/>
      <c r="CI163" s="128"/>
      <c r="CJ163" s="128"/>
      <c r="CK163" s="128"/>
      <c r="CL163" s="128"/>
      <c r="CM163" s="128"/>
      <c r="CN163" s="128"/>
    </row>
    <row r="164" spans="1:92" ht="60.75" customHeight="1" x14ac:dyDescent="0.3">
      <c r="A164" s="185">
        <v>163</v>
      </c>
      <c r="B164" s="147" t="s">
        <v>383</v>
      </c>
      <c r="C164" s="147" t="s">
        <v>390</v>
      </c>
      <c r="D164" s="147" t="s">
        <v>194</v>
      </c>
      <c r="E164" s="140" t="s">
        <v>18</v>
      </c>
      <c r="F164" s="145">
        <v>45111</v>
      </c>
      <c r="G164" s="169" t="s">
        <v>19</v>
      </c>
      <c r="H164" s="140">
        <v>0</v>
      </c>
      <c r="I164" s="140">
        <v>0</v>
      </c>
      <c r="J164" s="140">
        <v>34</v>
      </c>
      <c r="K164" s="140">
        <v>0</v>
      </c>
      <c r="L164" s="140">
        <f t="shared" si="8"/>
        <v>34</v>
      </c>
      <c r="M164" s="147" t="s">
        <v>29</v>
      </c>
      <c r="N164" s="147" t="s">
        <v>118</v>
      </c>
      <c r="O164" s="147" t="s">
        <v>667</v>
      </c>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row>
    <row r="165" spans="1:92" ht="72" x14ac:dyDescent="0.3">
      <c r="A165" s="185">
        <v>164</v>
      </c>
      <c r="B165" s="147" t="s">
        <v>25</v>
      </c>
      <c r="C165" s="147" t="s">
        <v>391</v>
      </c>
      <c r="D165" s="147" t="s">
        <v>193</v>
      </c>
      <c r="E165" s="140" t="s">
        <v>18</v>
      </c>
      <c r="F165" s="145" t="s">
        <v>398</v>
      </c>
      <c r="G165" s="147" t="s">
        <v>392</v>
      </c>
      <c r="H165" s="140">
        <v>0</v>
      </c>
      <c r="I165" s="140">
        <v>0</v>
      </c>
      <c r="J165" s="140">
        <v>2</v>
      </c>
      <c r="K165" s="140">
        <v>0</v>
      </c>
      <c r="L165" s="140">
        <f t="shared" si="8"/>
        <v>2</v>
      </c>
      <c r="M165" s="147" t="s">
        <v>29</v>
      </c>
      <c r="N165" s="147" t="s">
        <v>342</v>
      </c>
      <c r="O165" s="147" t="s">
        <v>393</v>
      </c>
      <c r="P165" s="128"/>
      <c r="Q165" s="128"/>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28"/>
      <c r="AX165" s="128"/>
      <c r="AY165" s="128"/>
      <c r="AZ165" s="128"/>
      <c r="BA165" s="128"/>
      <c r="BB165" s="128"/>
      <c r="BC165" s="128"/>
      <c r="BD165" s="128"/>
      <c r="BE165" s="128"/>
      <c r="BF165" s="128"/>
      <c r="BG165" s="128"/>
      <c r="BH165" s="128"/>
      <c r="BI165" s="128"/>
      <c r="BJ165" s="128"/>
      <c r="BK165" s="128"/>
      <c r="BL165" s="128"/>
      <c r="BM165" s="128"/>
      <c r="BN165" s="128"/>
      <c r="BO165" s="128"/>
      <c r="BP165" s="128"/>
      <c r="BQ165" s="128"/>
      <c r="BR165" s="128"/>
      <c r="BS165" s="128"/>
      <c r="BT165" s="128"/>
      <c r="BU165" s="128"/>
      <c r="BV165" s="128"/>
      <c r="BW165" s="128"/>
      <c r="BX165" s="128"/>
      <c r="BY165" s="128"/>
      <c r="BZ165" s="128"/>
      <c r="CA165" s="128"/>
      <c r="CB165" s="128"/>
      <c r="CC165" s="128"/>
      <c r="CD165" s="128"/>
      <c r="CE165" s="128"/>
      <c r="CF165" s="128"/>
      <c r="CG165" s="128"/>
      <c r="CH165" s="128"/>
      <c r="CI165" s="128"/>
      <c r="CJ165" s="128"/>
      <c r="CK165" s="128"/>
      <c r="CL165" s="128"/>
      <c r="CM165" s="128"/>
      <c r="CN165" s="128"/>
    </row>
    <row r="166" spans="1:92" ht="48" x14ac:dyDescent="0.3">
      <c r="A166" s="185">
        <v>165</v>
      </c>
      <c r="B166" s="34" t="s">
        <v>394</v>
      </c>
      <c r="C166" s="18" t="s">
        <v>668</v>
      </c>
      <c r="D166" s="147" t="s">
        <v>194</v>
      </c>
      <c r="E166" s="140" t="s">
        <v>18</v>
      </c>
      <c r="F166" s="145">
        <v>45111</v>
      </c>
      <c r="G166" s="168" t="s">
        <v>395</v>
      </c>
      <c r="H166" s="140">
        <v>12</v>
      </c>
      <c r="I166" s="140">
        <v>0</v>
      </c>
      <c r="J166" s="140">
        <v>213</v>
      </c>
      <c r="K166" s="140">
        <v>0</v>
      </c>
      <c r="L166" s="140">
        <f t="shared" si="8"/>
        <v>225</v>
      </c>
      <c r="M166" s="18" t="s">
        <v>29</v>
      </c>
      <c r="N166" s="18" t="s">
        <v>118</v>
      </c>
      <c r="O166" s="147" t="s">
        <v>669</v>
      </c>
      <c r="P166" s="128"/>
      <c r="Q166" s="128"/>
      <c r="R166" s="128"/>
      <c r="S166" s="128"/>
      <c r="T166" s="128"/>
      <c r="U166" s="128"/>
      <c r="V166" s="128"/>
      <c r="W166" s="128"/>
      <c r="X166" s="128"/>
      <c r="Y166" s="128"/>
      <c r="Z166" s="128"/>
      <c r="AA166" s="128"/>
      <c r="AB166" s="128"/>
      <c r="AC166" s="128"/>
      <c r="AD166" s="128"/>
      <c r="AE166" s="128"/>
      <c r="AF166" s="128"/>
      <c r="AG166" s="128"/>
      <c r="AH166" s="128"/>
      <c r="AI166" s="128"/>
      <c r="AJ166" s="128"/>
      <c r="AK166" s="128"/>
      <c r="AL166" s="128"/>
      <c r="AM166" s="128"/>
      <c r="AN166" s="128"/>
      <c r="AO166" s="128"/>
      <c r="AP166" s="128"/>
      <c r="AQ166" s="128"/>
      <c r="AR166" s="128"/>
      <c r="AS166" s="128"/>
      <c r="AT166" s="128"/>
      <c r="AU166" s="128"/>
      <c r="AV166" s="128"/>
      <c r="AW166" s="128"/>
      <c r="AX166" s="128"/>
      <c r="AY166" s="128"/>
      <c r="AZ166" s="128"/>
      <c r="BA166" s="128"/>
      <c r="BB166" s="128"/>
      <c r="BC166" s="128"/>
      <c r="BD166" s="128"/>
      <c r="BE166" s="128"/>
      <c r="BF166" s="128"/>
      <c r="BG166" s="128"/>
      <c r="BH166" s="128"/>
      <c r="BI166" s="128"/>
      <c r="BJ166" s="128"/>
      <c r="BK166" s="128"/>
      <c r="BL166" s="128"/>
      <c r="BM166" s="128"/>
      <c r="BN166" s="128"/>
      <c r="BO166" s="128"/>
      <c r="BP166" s="128"/>
      <c r="BQ166" s="128"/>
      <c r="BR166" s="128"/>
      <c r="BS166" s="128"/>
      <c r="BT166" s="128"/>
      <c r="BU166" s="128"/>
      <c r="BV166" s="128"/>
      <c r="BW166" s="128"/>
      <c r="BX166" s="128"/>
      <c r="BY166" s="128"/>
      <c r="BZ166" s="128"/>
      <c r="CA166" s="128"/>
      <c r="CB166" s="128"/>
      <c r="CC166" s="128"/>
      <c r="CD166" s="128"/>
      <c r="CE166" s="128"/>
      <c r="CF166" s="128"/>
      <c r="CG166" s="128"/>
      <c r="CH166" s="128"/>
      <c r="CI166" s="128"/>
      <c r="CJ166" s="128"/>
      <c r="CK166" s="128"/>
      <c r="CL166" s="128"/>
      <c r="CM166" s="128"/>
      <c r="CN166" s="128"/>
    </row>
    <row r="167" spans="1:92" ht="48" x14ac:dyDescent="0.3">
      <c r="A167" s="185">
        <v>166</v>
      </c>
      <c r="B167" s="34" t="s">
        <v>394</v>
      </c>
      <c r="C167" s="18" t="s">
        <v>670</v>
      </c>
      <c r="D167" s="147" t="s">
        <v>194</v>
      </c>
      <c r="E167" s="140" t="s">
        <v>18</v>
      </c>
      <c r="F167" s="145">
        <v>45113</v>
      </c>
      <c r="G167" s="168" t="s">
        <v>395</v>
      </c>
      <c r="H167" s="140">
        <v>11</v>
      </c>
      <c r="I167" s="140">
        <v>158</v>
      </c>
      <c r="J167" s="140">
        <v>0</v>
      </c>
      <c r="K167" s="140">
        <v>0</v>
      </c>
      <c r="L167" s="140">
        <f t="shared" si="8"/>
        <v>169</v>
      </c>
      <c r="M167" s="18" t="s">
        <v>29</v>
      </c>
      <c r="N167" s="18" t="s">
        <v>118</v>
      </c>
      <c r="O167" s="147" t="s">
        <v>671</v>
      </c>
      <c r="P167" s="128"/>
      <c r="Q167" s="128"/>
      <c r="R167" s="128"/>
      <c r="S167" s="128"/>
      <c r="T167" s="128"/>
      <c r="U167" s="128"/>
      <c r="V167" s="128"/>
      <c r="W167" s="128"/>
      <c r="X167" s="128"/>
      <c r="Y167" s="128"/>
      <c r="Z167" s="128"/>
      <c r="AA167" s="128"/>
      <c r="AB167" s="128"/>
      <c r="AC167" s="128"/>
      <c r="AD167" s="128"/>
      <c r="AE167" s="128"/>
      <c r="AF167" s="128"/>
      <c r="AG167" s="128"/>
      <c r="AH167" s="128"/>
      <c r="AI167" s="128"/>
      <c r="AJ167" s="128"/>
      <c r="AK167" s="128"/>
      <c r="AL167" s="128"/>
      <c r="AM167" s="128"/>
      <c r="AN167" s="128"/>
      <c r="AO167" s="128"/>
      <c r="AP167" s="128"/>
      <c r="AQ167" s="128"/>
      <c r="AR167" s="128"/>
      <c r="AS167" s="128"/>
      <c r="AT167" s="128"/>
      <c r="AU167" s="128"/>
      <c r="AV167" s="128"/>
      <c r="AW167" s="128"/>
      <c r="AX167" s="128"/>
      <c r="AY167" s="128"/>
      <c r="AZ167" s="128"/>
      <c r="BA167" s="128"/>
      <c r="BB167" s="128"/>
      <c r="BC167" s="128"/>
      <c r="BD167" s="128"/>
      <c r="BE167" s="128"/>
      <c r="BF167" s="128"/>
      <c r="BG167" s="128"/>
      <c r="BH167" s="128"/>
      <c r="BI167" s="128"/>
      <c r="BJ167" s="128"/>
      <c r="BK167" s="128"/>
      <c r="BL167" s="128"/>
      <c r="BM167" s="128"/>
      <c r="BN167" s="128"/>
      <c r="BO167" s="128"/>
      <c r="BP167" s="128"/>
      <c r="BQ167" s="128"/>
      <c r="BR167" s="128"/>
      <c r="BS167" s="128"/>
      <c r="BT167" s="128"/>
      <c r="BU167" s="128"/>
      <c r="BV167" s="128"/>
      <c r="BW167" s="128"/>
      <c r="BX167" s="128"/>
      <c r="BY167" s="128"/>
      <c r="BZ167" s="128"/>
      <c r="CA167" s="128"/>
      <c r="CB167" s="128"/>
      <c r="CC167" s="128"/>
      <c r="CD167" s="128"/>
      <c r="CE167" s="128"/>
      <c r="CF167" s="128"/>
      <c r="CG167" s="128"/>
      <c r="CH167" s="128"/>
      <c r="CI167" s="128"/>
      <c r="CJ167" s="128"/>
      <c r="CK167" s="128"/>
      <c r="CL167" s="128"/>
      <c r="CM167" s="128"/>
      <c r="CN167" s="128"/>
    </row>
    <row r="168" spans="1:92" ht="48" x14ac:dyDescent="0.3">
      <c r="A168" s="185">
        <v>167</v>
      </c>
      <c r="B168" s="34" t="s">
        <v>394</v>
      </c>
      <c r="C168" s="18" t="s">
        <v>672</v>
      </c>
      <c r="D168" s="147" t="s">
        <v>194</v>
      </c>
      <c r="E168" s="140" t="s">
        <v>18</v>
      </c>
      <c r="F168" s="145">
        <v>45113</v>
      </c>
      <c r="G168" s="168" t="s">
        <v>395</v>
      </c>
      <c r="H168" s="140">
        <v>7</v>
      </c>
      <c r="I168" s="140">
        <v>0</v>
      </c>
      <c r="J168" s="140">
        <v>170</v>
      </c>
      <c r="K168" s="140">
        <v>0</v>
      </c>
      <c r="L168" s="140">
        <f t="shared" si="8"/>
        <v>177</v>
      </c>
      <c r="M168" s="18" t="s">
        <v>29</v>
      </c>
      <c r="N168" s="18" t="s">
        <v>118</v>
      </c>
      <c r="O168" s="147" t="s">
        <v>673</v>
      </c>
      <c r="P168" s="128"/>
      <c r="Q168" s="128"/>
      <c r="R168" s="128"/>
      <c r="S168" s="128"/>
      <c r="T168" s="128"/>
      <c r="U168" s="128"/>
      <c r="V168" s="128"/>
      <c r="W168" s="128"/>
      <c r="X168" s="128"/>
      <c r="Y168" s="128"/>
      <c r="Z168" s="128"/>
      <c r="AA168" s="128"/>
      <c r="AB168" s="128"/>
      <c r="AC168" s="128"/>
      <c r="AD168" s="128"/>
      <c r="AE168" s="128"/>
      <c r="AF168" s="128"/>
      <c r="AG168" s="128"/>
      <c r="AH168" s="128"/>
      <c r="AI168" s="128"/>
      <c r="AJ168" s="128"/>
      <c r="AK168" s="128"/>
      <c r="AL168" s="128"/>
      <c r="AM168" s="128"/>
      <c r="AN168" s="128"/>
      <c r="AO168" s="128"/>
      <c r="AP168" s="128"/>
      <c r="AQ168" s="128"/>
      <c r="AR168" s="128"/>
      <c r="AS168" s="128"/>
      <c r="AT168" s="128"/>
      <c r="AU168" s="128"/>
      <c r="AV168" s="128"/>
      <c r="AW168" s="128"/>
      <c r="AX168" s="128"/>
      <c r="AY168" s="128"/>
      <c r="AZ168" s="128"/>
      <c r="BA168" s="128"/>
      <c r="BB168" s="128"/>
      <c r="BC168" s="128"/>
      <c r="BD168" s="128"/>
      <c r="BE168" s="128"/>
      <c r="BF168" s="128"/>
      <c r="BG168" s="128"/>
      <c r="BH168" s="128"/>
      <c r="BI168" s="128"/>
      <c r="BJ168" s="128"/>
      <c r="BK168" s="128"/>
      <c r="BL168" s="128"/>
      <c r="BM168" s="128"/>
      <c r="BN168" s="128"/>
      <c r="BO168" s="128"/>
      <c r="BP168" s="128"/>
      <c r="BQ168" s="128"/>
      <c r="BR168" s="128"/>
      <c r="BS168" s="128"/>
      <c r="BT168" s="128"/>
      <c r="BU168" s="128"/>
      <c r="BV168" s="128"/>
      <c r="BW168" s="128"/>
      <c r="BX168" s="128"/>
      <c r="BY168" s="128"/>
      <c r="BZ168" s="128"/>
      <c r="CA168" s="128"/>
      <c r="CB168" s="128"/>
      <c r="CC168" s="128"/>
      <c r="CD168" s="128"/>
      <c r="CE168" s="128"/>
      <c r="CF168" s="128"/>
      <c r="CG168" s="128"/>
      <c r="CH168" s="128"/>
      <c r="CI168" s="128"/>
      <c r="CJ168" s="128"/>
      <c r="CK168" s="128"/>
      <c r="CL168" s="128"/>
      <c r="CM168" s="128"/>
      <c r="CN168" s="128"/>
    </row>
    <row r="169" spans="1:92" s="73" customFormat="1" ht="48" x14ac:dyDescent="0.3">
      <c r="A169" s="185">
        <v>168</v>
      </c>
      <c r="B169" s="34" t="s">
        <v>394</v>
      </c>
      <c r="C169" s="18" t="s">
        <v>674</v>
      </c>
      <c r="D169" s="34" t="s">
        <v>194</v>
      </c>
      <c r="E169" s="34" t="s">
        <v>18</v>
      </c>
      <c r="F169" s="145">
        <v>45113</v>
      </c>
      <c r="G169" s="168" t="s">
        <v>395</v>
      </c>
      <c r="H169" s="140">
        <v>7</v>
      </c>
      <c r="I169" s="140">
        <v>0</v>
      </c>
      <c r="J169" s="140">
        <v>63</v>
      </c>
      <c r="K169" s="140">
        <v>0</v>
      </c>
      <c r="L169" s="140">
        <f t="shared" si="8"/>
        <v>70</v>
      </c>
      <c r="M169" s="147" t="s">
        <v>29</v>
      </c>
      <c r="N169" s="147" t="s">
        <v>118</v>
      </c>
      <c r="O169" s="147" t="s">
        <v>675</v>
      </c>
      <c r="P169" s="128"/>
      <c r="Q169" s="128"/>
      <c r="R169" s="128"/>
      <c r="S169" s="128"/>
      <c r="T169" s="128"/>
      <c r="U169" s="128"/>
      <c r="V169" s="128"/>
      <c r="W169" s="128"/>
      <c r="X169" s="128"/>
      <c r="Y169" s="128"/>
      <c r="Z169" s="128"/>
      <c r="AA169" s="128"/>
      <c r="AB169" s="128"/>
      <c r="AC169" s="128"/>
      <c r="AD169" s="128"/>
      <c r="AE169" s="128"/>
      <c r="AF169" s="128"/>
      <c r="AG169" s="128"/>
      <c r="AH169" s="128"/>
      <c r="AI169" s="128"/>
      <c r="AJ169" s="128"/>
      <c r="AK169" s="128"/>
      <c r="AL169" s="128"/>
      <c r="AM169" s="128"/>
      <c r="AN169" s="128"/>
      <c r="AO169" s="128"/>
      <c r="AP169" s="128"/>
      <c r="AQ169" s="128"/>
      <c r="AR169" s="128"/>
      <c r="AS169" s="128"/>
      <c r="AT169" s="128"/>
      <c r="AU169" s="128"/>
      <c r="AV169" s="128"/>
      <c r="AW169" s="128"/>
      <c r="AX169" s="128"/>
      <c r="AY169" s="128"/>
      <c r="AZ169" s="128"/>
      <c r="BA169" s="128"/>
      <c r="BB169" s="128"/>
      <c r="BC169" s="128"/>
      <c r="BD169" s="128"/>
      <c r="BE169" s="128"/>
      <c r="BF169" s="128"/>
      <c r="BG169" s="128"/>
      <c r="BH169" s="128"/>
      <c r="BI169" s="128"/>
      <c r="BJ169" s="128"/>
      <c r="BK169" s="128"/>
      <c r="BL169" s="128"/>
      <c r="BM169" s="128"/>
      <c r="BN169" s="128"/>
      <c r="BO169" s="128"/>
      <c r="BP169" s="128"/>
      <c r="BQ169" s="128"/>
      <c r="BR169" s="128"/>
      <c r="BS169" s="128"/>
      <c r="BT169" s="128"/>
      <c r="BU169" s="128"/>
      <c r="BV169" s="128"/>
      <c r="BW169" s="128"/>
      <c r="BX169" s="128"/>
      <c r="BY169" s="128"/>
      <c r="BZ169" s="128"/>
      <c r="CA169" s="128"/>
      <c r="CB169" s="128"/>
      <c r="CC169" s="128"/>
      <c r="CD169" s="128"/>
      <c r="CE169" s="128"/>
      <c r="CF169" s="128"/>
      <c r="CG169" s="128"/>
      <c r="CH169" s="128"/>
      <c r="CI169" s="128"/>
      <c r="CJ169" s="128"/>
      <c r="CK169" s="128"/>
      <c r="CL169" s="128"/>
      <c r="CM169" s="128"/>
      <c r="CN169" s="128"/>
    </row>
    <row r="170" spans="1:92" s="73" customFormat="1" ht="142.5" customHeight="1" x14ac:dyDescent="0.3">
      <c r="A170" s="185">
        <v>169</v>
      </c>
      <c r="B170" s="34" t="s">
        <v>394</v>
      </c>
      <c r="C170" s="147" t="s">
        <v>677</v>
      </c>
      <c r="D170" s="34" t="s">
        <v>194</v>
      </c>
      <c r="E170" s="34" t="s">
        <v>18</v>
      </c>
      <c r="F170" s="145">
        <v>45114</v>
      </c>
      <c r="G170" s="147" t="s">
        <v>437</v>
      </c>
      <c r="H170" s="140">
        <v>1800</v>
      </c>
      <c r="I170" s="140">
        <v>110</v>
      </c>
      <c r="J170" s="140">
        <v>470</v>
      </c>
      <c r="K170" s="140">
        <v>20</v>
      </c>
      <c r="L170" s="140">
        <f t="shared" si="8"/>
        <v>2400</v>
      </c>
      <c r="M170" s="147" t="s">
        <v>28</v>
      </c>
      <c r="N170" s="147" t="s">
        <v>118</v>
      </c>
      <c r="O170" s="147" t="s">
        <v>676</v>
      </c>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row>
    <row r="171" spans="1:92" s="73" customFormat="1" ht="102" customHeight="1" x14ac:dyDescent="0.3">
      <c r="A171" s="185">
        <v>170</v>
      </c>
      <c r="B171" s="34" t="s">
        <v>394</v>
      </c>
      <c r="C171" s="18" t="s">
        <v>678</v>
      </c>
      <c r="D171" s="34" t="s">
        <v>194</v>
      </c>
      <c r="E171" s="34" t="s">
        <v>18</v>
      </c>
      <c r="F171" s="145">
        <v>45114</v>
      </c>
      <c r="G171" s="168" t="s">
        <v>395</v>
      </c>
      <c r="H171" s="140">
        <v>7</v>
      </c>
      <c r="I171" s="140">
        <v>0</v>
      </c>
      <c r="J171" s="140">
        <v>106</v>
      </c>
      <c r="K171" s="140">
        <v>0</v>
      </c>
      <c r="L171" s="140">
        <f t="shared" si="8"/>
        <v>113</v>
      </c>
      <c r="M171" s="147" t="s">
        <v>29</v>
      </c>
      <c r="N171" s="147" t="s">
        <v>118</v>
      </c>
      <c r="O171" s="147" t="s">
        <v>679</v>
      </c>
      <c r="P171" s="128"/>
      <c r="Q171" s="128"/>
      <c r="R171" s="128"/>
      <c r="S171" s="128"/>
      <c r="T171" s="128"/>
      <c r="U171" s="128"/>
      <c r="V171" s="128"/>
      <c r="W171" s="128"/>
      <c r="X171" s="128"/>
      <c r="Y171" s="128"/>
      <c r="Z171" s="128"/>
      <c r="AA171" s="128"/>
      <c r="AB171" s="128"/>
      <c r="AC171" s="128"/>
      <c r="AD171" s="128"/>
      <c r="AE171" s="128"/>
      <c r="AF171" s="128"/>
      <c r="AG171" s="128"/>
      <c r="AH171" s="128"/>
      <c r="AI171" s="128"/>
      <c r="AJ171" s="128"/>
      <c r="AK171" s="128"/>
      <c r="AL171" s="128"/>
      <c r="AM171" s="128"/>
      <c r="AN171" s="128"/>
      <c r="AO171" s="128"/>
      <c r="AP171" s="128"/>
      <c r="AQ171" s="128"/>
      <c r="AR171" s="128"/>
      <c r="AS171" s="128"/>
      <c r="AT171" s="128"/>
      <c r="AU171" s="128"/>
      <c r="AV171" s="128"/>
      <c r="AW171" s="128"/>
      <c r="AX171" s="128"/>
      <c r="AY171" s="128"/>
      <c r="AZ171" s="128"/>
      <c r="BA171" s="128"/>
      <c r="BB171" s="128"/>
      <c r="BC171" s="128"/>
      <c r="BD171" s="128"/>
      <c r="BE171" s="128"/>
      <c r="BF171" s="128"/>
      <c r="BG171" s="128"/>
      <c r="BH171" s="128"/>
      <c r="BI171" s="128"/>
      <c r="BJ171" s="128"/>
      <c r="BK171" s="128"/>
      <c r="BL171" s="128"/>
      <c r="BM171" s="128"/>
      <c r="BN171" s="128"/>
      <c r="BO171" s="128"/>
      <c r="BP171" s="128"/>
      <c r="BQ171" s="128"/>
      <c r="BR171" s="128"/>
      <c r="BS171" s="128"/>
      <c r="BT171" s="128"/>
      <c r="BU171" s="128"/>
      <c r="BV171" s="128"/>
      <c r="BW171" s="128"/>
      <c r="BX171" s="128"/>
      <c r="BY171" s="128"/>
      <c r="BZ171" s="128"/>
      <c r="CA171" s="128"/>
      <c r="CB171" s="128"/>
      <c r="CC171" s="128"/>
      <c r="CD171" s="128"/>
      <c r="CE171" s="128"/>
      <c r="CF171" s="128"/>
      <c r="CG171" s="128"/>
      <c r="CH171" s="128"/>
      <c r="CI171" s="128"/>
      <c r="CJ171" s="128"/>
      <c r="CK171" s="128"/>
      <c r="CL171" s="128"/>
      <c r="CM171" s="128"/>
      <c r="CN171" s="128"/>
    </row>
    <row r="172" spans="1:92" ht="48" x14ac:dyDescent="0.3">
      <c r="A172" s="185">
        <v>171</v>
      </c>
      <c r="B172" s="34" t="s">
        <v>394</v>
      </c>
      <c r="C172" s="18" t="s">
        <v>680</v>
      </c>
      <c r="D172" s="34" t="s">
        <v>194</v>
      </c>
      <c r="E172" s="140" t="s">
        <v>18</v>
      </c>
      <c r="F172" s="145">
        <v>45114</v>
      </c>
      <c r="G172" s="168" t="s">
        <v>395</v>
      </c>
      <c r="H172" s="140">
        <v>9</v>
      </c>
      <c r="I172" s="140">
        <v>0</v>
      </c>
      <c r="J172" s="140">
        <v>303</v>
      </c>
      <c r="K172" s="140">
        <v>0</v>
      </c>
      <c r="L172" s="140">
        <f t="shared" si="8"/>
        <v>312</v>
      </c>
      <c r="M172" s="18" t="s">
        <v>29</v>
      </c>
      <c r="N172" s="18" t="s">
        <v>118</v>
      </c>
      <c r="O172" s="147" t="s">
        <v>681</v>
      </c>
      <c r="P172" s="128"/>
      <c r="Q172" s="128"/>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28"/>
      <c r="AX172" s="128"/>
      <c r="AY172" s="128"/>
      <c r="AZ172" s="128"/>
      <c r="BA172" s="128"/>
      <c r="BB172" s="128"/>
      <c r="BC172" s="128"/>
      <c r="BD172" s="128"/>
      <c r="BE172" s="128"/>
      <c r="BF172" s="128"/>
      <c r="BG172" s="128"/>
      <c r="BH172" s="128"/>
      <c r="BI172" s="128"/>
      <c r="BJ172" s="128"/>
      <c r="BK172" s="128"/>
      <c r="BL172" s="128"/>
      <c r="BM172" s="128"/>
      <c r="BN172" s="128"/>
      <c r="BO172" s="128"/>
      <c r="BP172" s="128"/>
      <c r="BQ172" s="128"/>
      <c r="BR172" s="128"/>
      <c r="BS172" s="128"/>
      <c r="BT172" s="128"/>
      <c r="BU172" s="128"/>
      <c r="BV172" s="128"/>
      <c r="BW172" s="128"/>
      <c r="BX172" s="128"/>
      <c r="BY172" s="128"/>
      <c r="BZ172" s="128"/>
      <c r="CA172" s="128"/>
      <c r="CB172" s="128"/>
      <c r="CC172" s="128"/>
      <c r="CD172" s="128"/>
      <c r="CE172" s="128"/>
      <c r="CF172" s="128"/>
      <c r="CG172" s="128"/>
      <c r="CH172" s="128"/>
      <c r="CI172" s="128"/>
      <c r="CJ172" s="128"/>
      <c r="CK172" s="128"/>
      <c r="CL172" s="128"/>
      <c r="CM172" s="128"/>
      <c r="CN172" s="128"/>
    </row>
    <row r="173" spans="1:92" ht="60" x14ac:dyDescent="0.3">
      <c r="A173" s="185">
        <v>172</v>
      </c>
      <c r="B173" s="34" t="s">
        <v>394</v>
      </c>
      <c r="C173" s="18" t="s">
        <v>682</v>
      </c>
      <c r="D173" s="34" t="s">
        <v>194</v>
      </c>
      <c r="E173" s="140" t="s">
        <v>18</v>
      </c>
      <c r="F173" s="145">
        <v>45117</v>
      </c>
      <c r="G173" s="168" t="s">
        <v>395</v>
      </c>
      <c r="H173" s="140">
        <v>0</v>
      </c>
      <c r="I173" s="140">
        <v>0</v>
      </c>
      <c r="J173" s="140">
        <v>69</v>
      </c>
      <c r="K173" s="140">
        <v>174</v>
      </c>
      <c r="L173" s="140">
        <f t="shared" si="8"/>
        <v>243</v>
      </c>
      <c r="M173" s="18" t="s">
        <v>29</v>
      </c>
      <c r="N173" s="18" t="s">
        <v>118</v>
      </c>
      <c r="O173" s="147" t="s">
        <v>683</v>
      </c>
      <c r="P173" s="128"/>
      <c r="Q173" s="128"/>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28"/>
      <c r="AX173" s="128"/>
      <c r="AY173" s="128"/>
      <c r="AZ173" s="128"/>
      <c r="BA173" s="128"/>
      <c r="BB173" s="128"/>
      <c r="BC173" s="128"/>
      <c r="BD173" s="128"/>
      <c r="BE173" s="128"/>
      <c r="BF173" s="128"/>
      <c r="BG173" s="128"/>
      <c r="BH173" s="128"/>
      <c r="BI173" s="128"/>
      <c r="BJ173" s="128"/>
      <c r="BK173" s="128"/>
      <c r="BL173" s="128"/>
      <c r="BM173" s="128"/>
      <c r="BN173" s="128"/>
      <c r="BO173" s="128"/>
      <c r="BP173" s="128"/>
      <c r="BQ173" s="128"/>
      <c r="BR173" s="128"/>
      <c r="BS173" s="128"/>
      <c r="BT173" s="128"/>
      <c r="BU173" s="128"/>
      <c r="BV173" s="128"/>
      <c r="BW173" s="128"/>
      <c r="BX173" s="128"/>
      <c r="BY173" s="128"/>
      <c r="BZ173" s="128"/>
      <c r="CA173" s="128"/>
      <c r="CB173" s="128"/>
      <c r="CC173" s="128"/>
      <c r="CD173" s="128"/>
      <c r="CE173" s="128"/>
      <c r="CF173" s="128"/>
      <c r="CG173" s="128"/>
      <c r="CH173" s="128"/>
      <c r="CI173" s="128"/>
      <c r="CJ173" s="128"/>
      <c r="CK173" s="128"/>
      <c r="CL173" s="128"/>
      <c r="CM173" s="128"/>
      <c r="CN173" s="128"/>
    </row>
    <row r="174" spans="1:92" ht="48" x14ac:dyDescent="0.3">
      <c r="A174" s="185">
        <v>173</v>
      </c>
      <c r="B174" s="34" t="s">
        <v>394</v>
      </c>
      <c r="C174" s="18" t="s">
        <v>684</v>
      </c>
      <c r="D174" s="34" t="s">
        <v>194</v>
      </c>
      <c r="E174" s="140" t="s">
        <v>18</v>
      </c>
      <c r="F174" s="145">
        <v>45117</v>
      </c>
      <c r="G174" s="168" t="s">
        <v>395</v>
      </c>
      <c r="H174" s="140">
        <v>9</v>
      </c>
      <c r="I174" s="140">
        <v>0</v>
      </c>
      <c r="J174" s="140">
        <v>136</v>
      </c>
      <c r="K174" s="140">
        <v>0</v>
      </c>
      <c r="L174" s="140">
        <f t="shared" si="8"/>
        <v>145</v>
      </c>
      <c r="M174" s="18" t="s">
        <v>29</v>
      </c>
      <c r="N174" s="18" t="s">
        <v>118</v>
      </c>
      <c r="O174" s="147" t="s">
        <v>685</v>
      </c>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28"/>
      <c r="AX174" s="128"/>
      <c r="AY174" s="128"/>
      <c r="AZ174" s="128"/>
      <c r="BA174" s="128"/>
      <c r="BB174" s="128"/>
      <c r="BC174" s="128"/>
      <c r="BD174" s="128"/>
      <c r="BE174" s="128"/>
      <c r="BF174" s="128"/>
      <c r="BG174" s="128"/>
      <c r="BH174" s="128"/>
      <c r="BI174" s="128"/>
      <c r="BJ174" s="128"/>
      <c r="BK174" s="128"/>
      <c r="BL174" s="128"/>
      <c r="BM174" s="128"/>
      <c r="BN174" s="128"/>
      <c r="BO174" s="128"/>
      <c r="BP174" s="128"/>
      <c r="BQ174" s="128"/>
      <c r="BR174" s="128"/>
      <c r="BS174" s="128"/>
      <c r="BT174" s="128"/>
      <c r="BU174" s="128"/>
      <c r="BV174" s="128"/>
      <c r="BW174" s="128"/>
      <c r="BX174" s="128"/>
      <c r="BY174" s="128"/>
      <c r="BZ174" s="128"/>
      <c r="CA174" s="128"/>
      <c r="CB174" s="128"/>
      <c r="CC174" s="128"/>
      <c r="CD174" s="128"/>
      <c r="CE174" s="128"/>
      <c r="CF174" s="128"/>
      <c r="CG174" s="128"/>
      <c r="CH174" s="128"/>
      <c r="CI174" s="128"/>
      <c r="CJ174" s="128"/>
      <c r="CK174" s="128"/>
      <c r="CL174" s="128"/>
      <c r="CM174" s="128"/>
      <c r="CN174" s="128"/>
    </row>
    <row r="175" spans="1:92" ht="48" x14ac:dyDescent="0.3">
      <c r="A175" s="185">
        <v>174</v>
      </c>
      <c r="B175" s="34" t="s">
        <v>394</v>
      </c>
      <c r="C175" s="18" t="s">
        <v>686</v>
      </c>
      <c r="D175" s="34" t="s">
        <v>194</v>
      </c>
      <c r="E175" s="140" t="s">
        <v>18</v>
      </c>
      <c r="F175" s="145">
        <v>45118</v>
      </c>
      <c r="G175" s="168" t="s">
        <v>395</v>
      </c>
      <c r="H175" s="140">
        <v>4</v>
      </c>
      <c r="I175" s="140">
        <v>0</v>
      </c>
      <c r="J175" s="140">
        <v>99</v>
      </c>
      <c r="K175" s="140">
        <v>0</v>
      </c>
      <c r="L175" s="140">
        <f t="shared" si="8"/>
        <v>103</v>
      </c>
      <c r="M175" s="18" t="s">
        <v>29</v>
      </c>
      <c r="N175" s="18" t="s">
        <v>118</v>
      </c>
      <c r="O175" s="147" t="s">
        <v>687</v>
      </c>
      <c r="P175" s="128"/>
      <c r="Q175" s="128"/>
      <c r="R175" s="128"/>
      <c r="S175" s="128"/>
      <c r="T175" s="128"/>
      <c r="U175" s="128"/>
      <c r="V175" s="128"/>
      <c r="W175" s="128"/>
      <c r="X175" s="128"/>
      <c r="Y175" s="128"/>
      <c r="Z175" s="128"/>
      <c r="AA175" s="128"/>
      <c r="AB175" s="128"/>
      <c r="AC175" s="128"/>
      <c r="AD175" s="128"/>
      <c r="AE175" s="128"/>
      <c r="AF175" s="128"/>
      <c r="AG175" s="128"/>
      <c r="AH175" s="128"/>
      <c r="AI175" s="128"/>
      <c r="AJ175" s="128"/>
      <c r="AK175" s="128"/>
      <c r="AL175" s="128"/>
      <c r="AM175" s="128"/>
      <c r="AN175" s="128"/>
      <c r="AO175" s="128"/>
      <c r="AP175" s="128"/>
      <c r="AQ175" s="128"/>
      <c r="AR175" s="128"/>
      <c r="AS175" s="128"/>
      <c r="AT175" s="128"/>
      <c r="AU175" s="128"/>
      <c r="AV175" s="128"/>
      <c r="AW175" s="128"/>
      <c r="AX175" s="128"/>
      <c r="AY175" s="128"/>
      <c r="AZ175" s="128"/>
      <c r="BA175" s="128"/>
      <c r="BB175" s="128"/>
      <c r="BC175" s="128"/>
      <c r="BD175" s="128"/>
      <c r="BE175" s="128"/>
      <c r="BF175" s="128"/>
      <c r="BG175" s="128"/>
      <c r="BH175" s="128"/>
      <c r="BI175" s="128"/>
      <c r="BJ175" s="128"/>
      <c r="BK175" s="128"/>
      <c r="BL175" s="128"/>
      <c r="BM175" s="128"/>
      <c r="BN175" s="128"/>
      <c r="BO175" s="128"/>
      <c r="BP175" s="128"/>
      <c r="BQ175" s="128"/>
      <c r="BR175" s="128"/>
      <c r="BS175" s="128"/>
      <c r="BT175" s="128"/>
      <c r="BU175" s="128"/>
      <c r="BV175" s="128"/>
      <c r="BW175" s="128"/>
      <c r="BX175" s="128"/>
      <c r="BY175" s="128"/>
      <c r="BZ175" s="128"/>
      <c r="CA175" s="128"/>
      <c r="CB175" s="128"/>
      <c r="CC175" s="128"/>
      <c r="CD175" s="128"/>
      <c r="CE175" s="128"/>
      <c r="CF175" s="128"/>
      <c r="CG175" s="128"/>
      <c r="CH175" s="128"/>
      <c r="CI175" s="128"/>
      <c r="CJ175" s="128"/>
      <c r="CK175" s="128"/>
      <c r="CL175" s="128"/>
      <c r="CM175" s="128"/>
      <c r="CN175" s="128"/>
    </row>
    <row r="176" spans="1:92" ht="72" x14ac:dyDescent="0.3">
      <c r="A176" s="185">
        <v>175</v>
      </c>
      <c r="B176" s="147" t="s">
        <v>383</v>
      </c>
      <c r="C176" s="147" t="s">
        <v>688</v>
      </c>
      <c r="D176" s="34" t="s">
        <v>194</v>
      </c>
      <c r="E176" s="34" t="s">
        <v>18</v>
      </c>
      <c r="F176" s="145">
        <v>45119</v>
      </c>
      <c r="G176" s="168" t="s">
        <v>19</v>
      </c>
      <c r="H176" s="140">
        <v>0</v>
      </c>
      <c r="I176" s="140">
        <v>0</v>
      </c>
      <c r="J176" s="140">
        <v>37</v>
      </c>
      <c r="K176" s="140">
        <v>0</v>
      </c>
      <c r="L176" s="140">
        <f t="shared" si="8"/>
        <v>37</v>
      </c>
      <c r="M176" s="147" t="s">
        <v>29</v>
      </c>
      <c r="N176" s="147" t="s">
        <v>118</v>
      </c>
      <c r="O176" s="147" t="s">
        <v>689</v>
      </c>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row>
    <row r="177" spans="1:92" ht="63" customHeight="1" x14ac:dyDescent="0.3">
      <c r="A177" s="185">
        <v>176</v>
      </c>
      <c r="B177" s="34" t="s">
        <v>394</v>
      </c>
      <c r="C177" s="18" t="s">
        <v>690</v>
      </c>
      <c r="D177" s="34" t="s">
        <v>194</v>
      </c>
      <c r="E177" s="34" t="s">
        <v>18</v>
      </c>
      <c r="F177" s="145">
        <v>45120</v>
      </c>
      <c r="G177" s="168" t="s">
        <v>395</v>
      </c>
      <c r="H177" s="140">
        <v>5</v>
      </c>
      <c r="I177" s="140">
        <v>0</v>
      </c>
      <c r="J177" s="140">
        <v>84</v>
      </c>
      <c r="K177" s="140">
        <v>0</v>
      </c>
      <c r="L177" s="140">
        <f t="shared" si="8"/>
        <v>89</v>
      </c>
      <c r="M177" s="18" t="s">
        <v>29</v>
      </c>
      <c r="N177" s="18" t="s">
        <v>118</v>
      </c>
      <c r="O177" s="147" t="s">
        <v>691</v>
      </c>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28"/>
      <c r="AX177" s="128"/>
      <c r="AY177" s="128"/>
      <c r="AZ177" s="128"/>
      <c r="BA177" s="128"/>
      <c r="BB177" s="128"/>
      <c r="BC177" s="128"/>
      <c r="BD177" s="128"/>
      <c r="BE177" s="128"/>
      <c r="BF177" s="128"/>
      <c r="BG177" s="128"/>
      <c r="BH177" s="128"/>
      <c r="BI177" s="128"/>
      <c r="BJ177" s="128"/>
      <c r="BK177" s="128"/>
      <c r="BL177" s="128"/>
      <c r="BM177" s="128"/>
      <c r="BN177" s="128"/>
      <c r="BO177" s="128"/>
      <c r="BP177" s="128"/>
      <c r="BQ177" s="128"/>
      <c r="BR177" s="128"/>
      <c r="BS177" s="128"/>
      <c r="BT177" s="128"/>
      <c r="BU177" s="128"/>
      <c r="BV177" s="128"/>
      <c r="BW177" s="128"/>
      <c r="BX177" s="128"/>
      <c r="BY177" s="128"/>
      <c r="BZ177" s="128"/>
      <c r="CA177" s="128"/>
      <c r="CB177" s="128"/>
      <c r="CC177" s="128"/>
      <c r="CD177" s="128"/>
      <c r="CE177" s="128"/>
      <c r="CF177" s="128"/>
      <c r="CG177" s="128"/>
      <c r="CH177" s="128"/>
      <c r="CI177" s="128"/>
      <c r="CJ177" s="128"/>
      <c r="CK177" s="128"/>
      <c r="CL177" s="128"/>
      <c r="CM177" s="128"/>
      <c r="CN177" s="128"/>
    </row>
    <row r="178" spans="1:92" ht="48" x14ac:dyDescent="0.3">
      <c r="A178" s="185">
        <v>177</v>
      </c>
      <c r="B178" s="34" t="s">
        <v>394</v>
      </c>
      <c r="C178" s="18" t="s">
        <v>692</v>
      </c>
      <c r="D178" s="34" t="s">
        <v>194</v>
      </c>
      <c r="E178" s="34" t="s">
        <v>18</v>
      </c>
      <c r="F178" s="145">
        <v>45120</v>
      </c>
      <c r="G178" s="168" t="s">
        <v>395</v>
      </c>
      <c r="H178" s="140">
        <v>13</v>
      </c>
      <c r="I178" s="140">
        <v>0</v>
      </c>
      <c r="J178" s="140">
        <v>285</v>
      </c>
      <c r="K178" s="140">
        <v>0</v>
      </c>
      <c r="L178" s="140">
        <f t="shared" si="8"/>
        <v>298</v>
      </c>
      <c r="M178" s="18" t="s">
        <v>29</v>
      </c>
      <c r="N178" s="18" t="s">
        <v>118</v>
      </c>
      <c r="O178" s="147" t="s">
        <v>693</v>
      </c>
      <c r="P178" s="128"/>
      <c r="Q178" s="128"/>
      <c r="R178" s="128"/>
      <c r="S178" s="128"/>
      <c r="T178" s="128"/>
      <c r="U178" s="128"/>
      <c r="V178" s="128"/>
      <c r="W178" s="128"/>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28"/>
      <c r="AW178" s="128"/>
      <c r="AX178" s="128"/>
      <c r="AY178" s="128"/>
      <c r="AZ178" s="128"/>
      <c r="BA178" s="128"/>
      <c r="BB178" s="128"/>
      <c r="BC178" s="128"/>
      <c r="BD178" s="128"/>
      <c r="BE178" s="128"/>
      <c r="BF178" s="128"/>
      <c r="BG178" s="128"/>
      <c r="BH178" s="128"/>
      <c r="BI178" s="128"/>
      <c r="BJ178" s="128"/>
      <c r="BK178" s="128"/>
      <c r="BL178" s="128"/>
      <c r="BM178" s="128"/>
      <c r="BN178" s="128"/>
      <c r="BO178" s="128"/>
      <c r="BP178" s="128"/>
      <c r="BQ178" s="128"/>
      <c r="BR178" s="128"/>
      <c r="BS178" s="128"/>
      <c r="BT178" s="128"/>
      <c r="BU178" s="128"/>
      <c r="BV178" s="128"/>
      <c r="BW178" s="128"/>
      <c r="BX178" s="128"/>
      <c r="BY178" s="128"/>
      <c r="BZ178" s="128"/>
      <c r="CA178" s="128"/>
      <c r="CB178" s="128"/>
      <c r="CC178" s="128"/>
      <c r="CD178" s="128"/>
      <c r="CE178" s="128"/>
      <c r="CF178" s="128"/>
      <c r="CG178" s="128"/>
      <c r="CH178" s="128"/>
      <c r="CI178" s="128"/>
      <c r="CJ178" s="128"/>
      <c r="CK178" s="128"/>
      <c r="CL178" s="128"/>
      <c r="CM178" s="128"/>
      <c r="CN178" s="128"/>
    </row>
    <row r="179" spans="1:92" ht="108.75" customHeight="1" x14ac:dyDescent="0.3">
      <c r="A179" s="185">
        <v>178</v>
      </c>
      <c r="B179" s="34" t="s">
        <v>396</v>
      </c>
      <c r="C179" s="34" t="s">
        <v>694</v>
      </c>
      <c r="D179" s="34" t="s">
        <v>194</v>
      </c>
      <c r="E179" s="34" t="s">
        <v>18</v>
      </c>
      <c r="F179" s="145">
        <v>45120</v>
      </c>
      <c r="G179" s="168" t="s">
        <v>397</v>
      </c>
      <c r="H179" s="140">
        <v>0</v>
      </c>
      <c r="I179" s="140">
        <v>0</v>
      </c>
      <c r="J179" s="140">
        <v>31</v>
      </c>
      <c r="K179" s="140">
        <v>0</v>
      </c>
      <c r="L179" s="140">
        <f t="shared" si="8"/>
        <v>31</v>
      </c>
      <c r="M179" s="147" t="s">
        <v>562</v>
      </c>
      <c r="N179" s="147" t="s">
        <v>118</v>
      </c>
      <c r="O179" s="147" t="s">
        <v>695</v>
      </c>
      <c r="P179" s="128"/>
      <c r="Q179" s="128"/>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28"/>
      <c r="AX179" s="128"/>
      <c r="AY179" s="128"/>
      <c r="AZ179" s="128"/>
      <c r="BA179" s="128"/>
      <c r="BB179" s="128"/>
      <c r="BC179" s="128"/>
      <c r="BD179" s="128"/>
      <c r="BE179" s="128"/>
      <c r="BF179" s="128"/>
      <c r="BG179" s="128"/>
      <c r="BH179" s="128"/>
      <c r="BI179" s="128"/>
      <c r="BJ179" s="128"/>
      <c r="BK179" s="128"/>
      <c r="BL179" s="128"/>
      <c r="BM179" s="128"/>
      <c r="BN179" s="128"/>
      <c r="BO179" s="128"/>
      <c r="BP179" s="128"/>
      <c r="BQ179" s="128"/>
      <c r="BR179" s="128"/>
      <c r="BS179" s="128"/>
      <c r="BT179" s="128"/>
      <c r="BU179" s="128"/>
      <c r="BV179" s="128"/>
      <c r="BW179" s="128"/>
      <c r="BX179" s="128"/>
      <c r="BY179" s="128"/>
      <c r="BZ179" s="128"/>
      <c r="CA179" s="128"/>
      <c r="CB179" s="128"/>
      <c r="CC179" s="128"/>
      <c r="CD179" s="128"/>
      <c r="CE179" s="128"/>
      <c r="CF179" s="128"/>
      <c r="CG179" s="128"/>
      <c r="CH179" s="128"/>
      <c r="CI179" s="128"/>
      <c r="CJ179" s="128"/>
      <c r="CK179" s="128"/>
      <c r="CL179" s="128"/>
      <c r="CM179" s="128"/>
      <c r="CN179" s="128"/>
    </row>
    <row r="180" spans="1:92" ht="39" customHeight="1" x14ac:dyDescent="0.3">
      <c r="A180" s="185">
        <v>179</v>
      </c>
      <c r="B180" s="34" t="s">
        <v>394</v>
      </c>
      <c r="C180" s="18" t="s">
        <v>696</v>
      </c>
      <c r="D180" s="34" t="s">
        <v>194</v>
      </c>
      <c r="E180" s="34" t="s">
        <v>18</v>
      </c>
      <c r="F180" s="145">
        <v>45119</v>
      </c>
      <c r="G180" s="168" t="s">
        <v>395</v>
      </c>
      <c r="H180" s="140">
        <v>15</v>
      </c>
      <c r="I180" s="140">
        <v>0</v>
      </c>
      <c r="J180" s="140">
        <v>314</v>
      </c>
      <c r="K180" s="140">
        <v>0</v>
      </c>
      <c r="L180" s="140">
        <f t="shared" si="8"/>
        <v>329</v>
      </c>
      <c r="M180" s="147" t="s">
        <v>29</v>
      </c>
      <c r="N180" s="147" t="s">
        <v>118</v>
      </c>
      <c r="O180" s="147" t="s">
        <v>697</v>
      </c>
      <c r="P180" s="128"/>
      <c r="Q180" s="128"/>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28"/>
      <c r="AX180" s="128"/>
      <c r="AY180" s="128"/>
      <c r="AZ180" s="128"/>
      <c r="BA180" s="128"/>
      <c r="BB180" s="128"/>
      <c r="BC180" s="128"/>
      <c r="BD180" s="128"/>
      <c r="BE180" s="128"/>
      <c r="BF180" s="128"/>
      <c r="BG180" s="128"/>
      <c r="BH180" s="128"/>
      <c r="BI180" s="128"/>
      <c r="BJ180" s="128"/>
      <c r="BK180" s="128"/>
      <c r="BL180" s="128"/>
      <c r="BM180" s="128"/>
      <c r="BN180" s="128"/>
      <c r="BO180" s="128"/>
      <c r="BP180" s="128"/>
      <c r="BQ180" s="128"/>
      <c r="BR180" s="128"/>
      <c r="BS180" s="128"/>
      <c r="BT180" s="128"/>
      <c r="BU180" s="128"/>
      <c r="BV180" s="128"/>
      <c r="BW180" s="128"/>
      <c r="BX180" s="128"/>
      <c r="BY180" s="128"/>
      <c r="BZ180" s="128"/>
      <c r="CA180" s="128"/>
      <c r="CB180" s="128"/>
      <c r="CC180" s="128"/>
      <c r="CD180" s="128"/>
      <c r="CE180" s="128"/>
      <c r="CF180" s="128"/>
      <c r="CG180" s="128"/>
      <c r="CH180" s="128"/>
      <c r="CI180" s="128"/>
      <c r="CJ180" s="128"/>
      <c r="CK180" s="128"/>
      <c r="CL180" s="128"/>
      <c r="CM180" s="128"/>
      <c r="CN180" s="128"/>
    </row>
    <row r="181" spans="1:92" s="73" customFormat="1" ht="214.5" customHeight="1" x14ac:dyDescent="0.3">
      <c r="A181" s="185">
        <v>180</v>
      </c>
      <c r="B181" s="74" t="s">
        <v>17</v>
      </c>
      <c r="C181" s="147" t="s">
        <v>700</v>
      </c>
      <c r="D181" s="74" t="s">
        <v>194</v>
      </c>
      <c r="E181" s="147" t="s">
        <v>18</v>
      </c>
      <c r="F181" s="145" t="s">
        <v>443</v>
      </c>
      <c r="G181" s="147" t="s">
        <v>167</v>
      </c>
      <c r="H181" s="148">
        <v>142</v>
      </c>
      <c r="I181" s="140">
        <v>0</v>
      </c>
      <c r="J181" s="140">
        <v>4</v>
      </c>
      <c r="K181" s="140">
        <v>0</v>
      </c>
      <c r="L181" s="140">
        <f>SUBTOTAL(9,H181:K181)</f>
        <v>146</v>
      </c>
      <c r="M181" s="147" t="s">
        <v>28</v>
      </c>
      <c r="N181" s="147" t="s">
        <v>118</v>
      </c>
      <c r="O181" s="147" t="s">
        <v>657</v>
      </c>
      <c r="P181" s="128"/>
      <c r="Q181" s="128"/>
      <c r="R181" s="128"/>
      <c r="S181" s="128"/>
      <c r="T181" s="128"/>
      <c r="U181" s="128"/>
      <c r="V181" s="128"/>
      <c r="W181" s="128"/>
      <c r="X181" s="128"/>
      <c r="Y181" s="128"/>
      <c r="Z181" s="128"/>
      <c r="AA181" s="128"/>
      <c r="AB181" s="128"/>
      <c r="AC181" s="128"/>
      <c r="AD181" s="128"/>
      <c r="AE181" s="128"/>
      <c r="AF181" s="128"/>
      <c r="AG181" s="128"/>
      <c r="AH181" s="128"/>
      <c r="AI181" s="128"/>
      <c r="AJ181" s="128"/>
      <c r="AK181" s="128"/>
      <c r="AL181" s="128"/>
      <c r="AM181" s="128"/>
      <c r="AN181" s="128"/>
      <c r="AO181" s="128"/>
      <c r="AP181" s="128"/>
      <c r="AQ181" s="128"/>
      <c r="AR181" s="128"/>
      <c r="AS181" s="128"/>
      <c r="AT181" s="128"/>
      <c r="AU181" s="128"/>
      <c r="AV181" s="128"/>
      <c r="AW181" s="128"/>
      <c r="AX181" s="128"/>
      <c r="AY181" s="128"/>
      <c r="AZ181" s="128"/>
      <c r="BA181" s="128"/>
      <c r="BB181" s="128"/>
      <c r="BC181" s="128"/>
      <c r="BD181" s="128"/>
      <c r="BE181" s="128"/>
      <c r="BF181" s="128"/>
      <c r="BG181" s="128"/>
      <c r="BH181" s="128"/>
      <c r="BI181" s="128"/>
      <c r="BJ181" s="128"/>
      <c r="BK181" s="128"/>
      <c r="BL181" s="128"/>
      <c r="BM181" s="128"/>
      <c r="BN181" s="128"/>
      <c r="BO181" s="128"/>
      <c r="BP181" s="128"/>
      <c r="BQ181" s="128"/>
      <c r="BR181" s="128"/>
      <c r="BS181" s="128"/>
      <c r="BT181" s="128"/>
      <c r="BU181" s="128"/>
      <c r="BV181" s="128"/>
      <c r="BW181" s="128"/>
      <c r="BX181" s="128"/>
      <c r="BY181" s="128"/>
      <c r="BZ181" s="128"/>
      <c r="CA181" s="128"/>
      <c r="CB181" s="128"/>
      <c r="CC181" s="128"/>
      <c r="CD181" s="128"/>
      <c r="CE181" s="128"/>
      <c r="CF181" s="128"/>
      <c r="CG181" s="128"/>
      <c r="CH181" s="128"/>
      <c r="CI181" s="128"/>
      <c r="CJ181" s="128"/>
      <c r="CK181" s="128"/>
      <c r="CL181" s="128"/>
      <c r="CM181" s="128"/>
      <c r="CN181" s="128"/>
    </row>
    <row r="182" spans="1:92" s="122" customFormat="1" ht="48" x14ac:dyDescent="0.3">
      <c r="A182" s="185">
        <v>181</v>
      </c>
      <c r="B182" s="34" t="s">
        <v>17</v>
      </c>
      <c r="C182" s="147" t="s">
        <v>610</v>
      </c>
      <c r="D182" s="34" t="s">
        <v>194</v>
      </c>
      <c r="E182" s="34" t="s">
        <v>18</v>
      </c>
      <c r="F182" s="145">
        <v>45144</v>
      </c>
      <c r="G182" s="168" t="s">
        <v>607</v>
      </c>
      <c r="H182" s="140">
        <v>1</v>
      </c>
      <c r="I182" s="140">
        <v>0</v>
      </c>
      <c r="J182" s="140">
        <v>15</v>
      </c>
      <c r="K182" s="140">
        <v>0</v>
      </c>
      <c r="L182" s="140">
        <f t="shared" ref="L182:L202" si="9">SUM(H182:K182)</f>
        <v>16</v>
      </c>
      <c r="M182" s="147" t="s">
        <v>698</v>
      </c>
      <c r="N182" s="147" t="s">
        <v>118</v>
      </c>
      <c r="O182" s="147" t="s">
        <v>608</v>
      </c>
      <c r="P182" s="128"/>
      <c r="Q182" s="128"/>
      <c r="R182" s="128"/>
      <c r="S182" s="128"/>
      <c r="T182" s="128"/>
      <c r="U182" s="128"/>
      <c r="V182" s="128"/>
      <c r="W182" s="128"/>
      <c r="X182" s="128"/>
      <c r="Y182" s="128"/>
      <c r="Z182" s="128"/>
      <c r="AA182" s="128"/>
      <c r="AB182" s="128"/>
      <c r="AC182" s="128"/>
      <c r="AD182" s="128"/>
      <c r="AE182" s="128"/>
      <c r="AF182" s="128"/>
      <c r="AG182" s="128"/>
      <c r="AH182" s="128"/>
      <c r="AI182" s="128"/>
      <c r="AJ182" s="128"/>
      <c r="AK182" s="128"/>
      <c r="AL182" s="128"/>
      <c r="AM182" s="128"/>
      <c r="AN182" s="128"/>
      <c r="AO182" s="128"/>
      <c r="AP182" s="128"/>
      <c r="AQ182" s="128"/>
      <c r="AR182" s="128"/>
      <c r="AS182" s="128"/>
      <c r="AT182" s="128"/>
      <c r="AU182" s="128"/>
      <c r="AV182" s="128"/>
      <c r="AW182" s="128"/>
      <c r="AX182" s="128"/>
      <c r="AY182" s="128"/>
      <c r="AZ182" s="128"/>
      <c r="BA182" s="128"/>
      <c r="BB182" s="128"/>
      <c r="BC182" s="128"/>
      <c r="BD182" s="128"/>
      <c r="BE182" s="128"/>
      <c r="BF182" s="128"/>
      <c r="BG182" s="128"/>
      <c r="BH182" s="128"/>
      <c r="BI182" s="128"/>
      <c r="BJ182" s="128"/>
      <c r="BK182" s="128"/>
      <c r="BL182" s="128"/>
      <c r="BM182" s="128"/>
      <c r="BN182" s="128"/>
      <c r="BO182" s="128"/>
      <c r="BP182" s="128"/>
      <c r="BQ182" s="128"/>
      <c r="BR182" s="128"/>
      <c r="BS182" s="128"/>
      <c r="BT182" s="128"/>
      <c r="BU182" s="128"/>
      <c r="BV182" s="128"/>
      <c r="BW182" s="128"/>
      <c r="BX182" s="128"/>
      <c r="BY182" s="128"/>
      <c r="BZ182" s="128"/>
      <c r="CA182" s="128"/>
      <c r="CB182" s="128"/>
      <c r="CC182" s="128"/>
      <c r="CD182" s="128"/>
      <c r="CE182" s="128"/>
      <c r="CF182" s="128"/>
      <c r="CG182" s="128"/>
      <c r="CH182" s="128"/>
      <c r="CI182" s="128"/>
      <c r="CJ182" s="128"/>
      <c r="CK182" s="128"/>
      <c r="CL182" s="128"/>
      <c r="CM182" s="128"/>
      <c r="CN182" s="128"/>
    </row>
    <row r="183" spans="1:92" s="73" customFormat="1" ht="155.25" customHeight="1" x14ac:dyDescent="0.3">
      <c r="A183" s="185">
        <v>182</v>
      </c>
      <c r="B183" s="40" t="s">
        <v>17</v>
      </c>
      <c r="C183" s="147" t="s">
        <v>699</v>
      </c>
      <c r="D183" s="40" t="s">
        <v>194</v>
      </c>
      <c r="E183" s="147" t="s">
        <v>18</v>
      </c>
      <c r="F183" s="145" t="s">
        <v>658</v>
      </c>
      <c r="G183" s="147" t="s">
        <v>167</v>
      </c>
      <c r="H183" s="152">
        <v>162</v>
      </c>
      <c r="I183" s="170">
        <v>0</v>
      </c>
      <c r="J183" s="171">
        <v>2</v>
      </c>
      <c r="K183" s="171">
        <v>0</v>
      </c>
      <c r="L183" s="171">
        <f t="shared" si="9"/>
        <v>164</v>
      </c>
      <c r="M183" s="147" t="s">
        <v>28</v>
      </c>
      <c r="N183" s="147" t="s">
        <v>118</v>
      </c>
      <c r="O183" s="147" t="s">
        <v>659</v>
      </c>
      <c r="P183" s="128"/>
      <c r="Q183" s="128"/>
      <c r="R183" s="128"/>
      <c r="S183" s="128"/>
      <c r="T183" s="128"/>
      <c r="U183" s="128"/>
      <c r="V183" s="128"/>
      <c r="W183" s="128"/>
      <c r="X183" s="128"/>
      <c r="Y183" s="128"/>
      <c r="Z183" s="128"/>
      <c r="AA183" s="128"/>
      <c r="AB183" s="128"/>
      <c r="AC183" s="128"/>
      <c r="AD183" s="128"/>
      <c r="AE183" s="128"/>
      <c r="AF183" s="128"/>
      <c r="AG183" s="128"/>
      <c r="AH183" s="128"/>
      <c r="AI183" s="128"/>
      <c r="AJ183" s="128"/>
      <c r="AK183" s="128"/>
      <c r="AL183" s="128"/>
      <c r="AM183" s="128"/>
      <c r="AN183" s="128"/>
      <c r="AO183" s="128"/>
      <c r="AP183" s="128"/>
      <c r="AQ183" s="128"/>
      <c r="AR183" s="128"/>
      <c r="AS183" s="128"/>
      <c r="AT183" s="128"/>
      <c r="AU183" s="128"/>
      <c r="AV183" s="128"/>
      <c r="AW183" s="128"/>
      <c r="AX183" s="128"/>
      <c r="AY183" s="128"/>
      <c r="AZ183" s="128"/>
      <c r="BA183" s="128"/>
      <c r="BB183" s="128"/>
      <c r="BC183" s="128"/>
      <c r="BD183" s="128"/>
      <c r="BE183" s="128"/>
      <c r="BF183" s="128"/>
      <c r="BG183" s="128"/>
      <c r="BH183" s="128"/>
      <c r="BI183" s="128"/>
      <c r="BJ183" s="128"/>
      <c r="BK183" s="128"/>
      <c r="BL183" s="128"/>
      <c r="BM183" s="128"/>
      <c r="BN183" s="128"/>
      <c r="BO183" s="128"/>
      <c r="BP183" s="128"/>
      <c r="BQ183" s="128"/>
      <c r="BR183" s="128"/>
      <c r="BS183" s="128"/>
      <c r="BT183" s="128"/>
      <c r="BU183" s="128"/>
      <c r="BV183" s="128"/>
      <c r="BW183" s="128"/>
      <c r="BX183" s="128"/>
      <c r="BY183" s="128"/>
      <c r="BZ183" s="128"/>
      <c r="CA183" s="128"/>
      <c r="CB183" s="128"/>
      <c r="CC183" s="128"/>
      <c r="CD183" s="128"/>
      <c r="CE183" s="128"/>
      <c r="CF183" s="128"/>
      <c r="CG183" s="128"/>
      <c r="CH183" s="128"/>
      <c r="CI183" s="128"/>
      <c r="CJ183" s="128"/>
      <c r="CK183" s="128"/>
      <c r="CL183" s="128"/>
      <c r="CM183" s="128"/>
      <c r="CN183" s="128"/>
    </row>
    <row r="184" spans="1:92" s="73" customFormat="1" ht="141.75" customHeight="1" x14ac:dyDescent="0.3">
      <c r="A184" s="185">
        <v>183</v>
      </c>
      <c r="B184" s="40" t="s">
        <v>17</v>
      </c>
      <c r="C184" s="147" t="s">
        <v>701</v>
      </c>
      <c r="D184" s="40" t="s">
        <v>194</v>
      </c>
      <c r="E184" s="147" t="s">
        <v>18</v>
      </c>
      <c r="F184" s="145" t="s">
        <v>702</v>
      </c>
      <c r="G184" s="168" t="s">
        <v>167</v>
      </c>
      <c r="H184" s="140">
        <v>181</v>
      </c>
      <c r="I184" s="140">
        <v>0</v>
      </c>
      <c r="J184" s="140">
        <v>6</v>
      </c>
      <c r="K184" s="140">
        <v>0</v>
      </c>
      <c r="L184" s="140">
        <f t="shared" si="9"/>
        <v>187</v>
      </c>
      <c r="M184" s="147" t="s">
        <v>28</v>
      </c>
      <c r="N184" s="147" t="s">
        <v>118</v>
      </c>
      <c r="O184" s="147" t="s">
        <v>703</v>
      </c>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row>
    <row r="185" spans="1:92" s="71" customFormat="1" ht="108" x14ac:dyDescent="0.3">
      <c r="A185" s="185">
        <v>184</v>
      </c>
      <c r="B185" s="140" t="s">
        <v>15</v>
      </c>
      <c r="C185" s="140" t="s">
        <v>417</v>
      </c>
      <c r="D185" s="147" t="s">
        <v>194</v>
      </c>
      <c r="E185" s="140" t="s">
        <v>18</v>
      </c>
      <c r="F185" s="145">
        <v>45170</v>
      </c>
      <c r="G185" s="140" t="s">
        <v>19</v>
      </c>
      <c r="H185" s="140">
        <v>10</v>
      </c>
      <c r="I185" s="140">
        <v>30</v>
      </c>
      <c r="J185" s="140">
        <v>60</v>
      </c>
      <c r="K185" s="140">
        <v>10</v>
      </c>
      <c r="L185" s="140">
        <f t="shared" si="9"/>
        <v>110</v>
      </c>
      <c r="M185" s="147" t="s">
        <v>28</v>
      </c>
      <c r="N185" s="147" t="s">
        <v>118</v>
      </c>
      <c r="O185" s="147" t="s">
        <v>704</v>
      </c>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28"/>
      <c r="AX185" s="128"/>
      <c r="AY185" s="128"/>
      <c r="AZ185" s="128"/>
      <c r="BA185" s="128"/>
      <c r="BB185" s="128"/>
      <c r="BC185" s="128"/>
      <c r="BD185" s="128"/>
      <c r="BE185" s="128"/>
      <c r="BF185" s="128"/>
      <c r="BG185" s="128"/>
      <c r="BH185" s="128"/>
      <c r="BI185" s="128"/>
      <c r="BJ185" s="128"/>
      <c r="BK185" s="128"/>
      <c r="BL185" s="128"/>
      <c r="BM185" s="128"/>
      <c r="BN185" s="128"/>
      <c r="BO185" s="128"/>
      <c r="BP185" s="128"/>
      <c r="BQ185" s="128"/>
      <c r="BR185" s="128"/>
      <c r="BS185" s="128"/>
      <c r="BT185" s="128"/>
      <c r="BU185" s="128"/>
      <c r="BV185" s="128"/>
      <c r="BW185" s="128"/>
      <c r="BX185" s="128"/>
      <c r="BY185" s="128"/>
      <c r="BZ185" s="128"/>
      <c r="CA185" s="128"/>
      <c r="CB185" s="128"/>
      <c r="CC185" s="128"/>
      <c r="CD185" s="128"/>
      <c r="CE185" s="128"/>
      <c r="CF185" s="128"/>
      <c r="CG185" s="128"/>
      <c r="CH185" s="128"/>
      <c r="CI185" s="128"/>
      <c r="CJ185" s="128"/>
      <c r="CK185" s="128"/>
      <c r="CL185" s="128"/>
      <c r="CM185" s="128"/>
      <c r="CN185" s="128"/>
    </row>
    <row r="186" spans="1:92" s="65" customFormat="1" ht="84.75" customHeight="1" x14ac:dyDescent="0.3">
      <c r="A186" s="185">
        <v>185</v>
      </c>
      <c r="B186" s="140" t="s">
        <v>38</v>
      </c>
      <c r="C186" s="140" t="s">
        <v>405</v>
      </c>
      <c r="D186" s="140" t="s">
        <v>194</v>
      </c>
      <c r="E186" s="140" t="s">
        <v>18</v>
      </c>
      <c r="F186" s="145">
        <v>45173</v>
      </c>
      <c r="G186" s="140" t="s">
        <v>19</v>
      </c>
      <c r="H186" s="140">
        <v>1</v>
      </c>
      <c r="I186" s="140">
        <v>110</v>
      </c>
      <c r="J186" s="140">
        <v>20</v>
      </c>
      <c r="K186" s="140">
        <v>0</v>
      </c>
      <c r="L186" s="140">
        <f t="shared" si="9"/>
        <v>131</v>
      </c>
      <c r="M186" s="147" t="s">
        <v>406</v>
      </c>
      <c r="N186" s="147" t="s">
        <v>118</v>
      </c>
      <c r="O186" s="147" t="s">
        <v>407</v>
      </c>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28"/>
      <c r="AX186" s="128"/>
      <c r="AY186" s="128"/>
      <c r="AZ186" s="128"/>
      <c r="BA186" s="128"/>
      <c r="BB186" s="128"/>
      <c r="BC186" s="128"/>
      <c r="BD186" s="128"/>
      <c r="BE186" s="128"/>
      <c r="BF186" s="128"/>
      <c r="BG186" s="128"/>
      <c r="BH186" s="128"/>
      <c r="BI186" s="128"/>
      <c r="BJ186" s="128"/>
      <c r="BK186" s="128"/>
      <c r="BL186" s="128"/>
      <c r="BM186" s="128"/>
      <c r="BN186" s="128"/>
      <c r="BO186" s="128"/>
      <c r="BP186" s="128"/>
      <c r="BQ186" s="128"/>
      <c r="BR186" s="128"/>
      <c r="BS186" s="128"/>
      <c r="BT186" s="128"/>
      <c r="BU186" s="128"/>
      <c r="BV186" s="128"/>
      <c r="BW186" s="128"/>
      <c r="BX186" s="128"/>
      <c r="BY186" s="128"/>
      <c r="BZ186" s="128"/>
      <c r="CA186" s="128"/>
      <c r="CB186" s="128"/>
      <c r="CC186" s="128"/>
      <c r="CD186" s="128"/>
      <c r="CE186" s="128"/>
      <c r="CF186" s="128"/>
      <c r="CG186" s="128"/>
      <c r="CH186" s="128"/>
      <c r="CI186" s="128"/>
      <c r="CJ186" s="128"/>
      <c r="CK186" s="128"/>
      <c r="CL186" s="128"/>
      <c r="CM186" s="128"/>
      <c r="CN186" s="128"/>
    </row>
    <row r="187" spans="1:92" s="73" customFormat="1" ht="72" x14ac:dyDescent="0.3">
      <c r="A187" s="185">
        <v>186</v>
      </c>
      <c r="B187" s="140" t="s">
        <v>383</v>
      </c>
      <c r="C187" s="140" t="s">
        <v>706</v>
      </c>
      <c r="D187" s="140" t="s">
        <v>194</v>
      </c>
      <c r="E187" s="140" t="s">
        <v>18</v>
      </c>
      <c r="F187" s="145">
        <v>45173</v>
      </c>
      <c r="G187" s="140" t="s">
        <v>19</v>
      </c>
      <c r="H187" s="140">
        <v>0</v>
      </c>
      <c r="I187" s="140">
        <v>0</v>
      </c>
      <c r="J187" s="140">
        <v>54</v>
      </c>
      <c r="K187" s="140">
        <v>0</v>
      </c>
      <c r="L187" s="140">
        <f t="shared" si="9"/>
        <v>54</v>
      </c>
      <c r="M187" s="147" t="s">
        <v>29</v>
      </c>
      <c r="N187" s="147" t="s">
        <v>118</v>
      </c>
      <c r="O187" s="147" t="s">
        <v>705</v>
      </c>
      <c r="P187" s="128"/>
      <c r="Q187" s="128"/>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28"/>
      <c r="AX187" s="128"/>
      <c r="AY187" s="128"/>
      <c r="AZ187" s="128"/>
      <c r="BA187" s="128"/>
      <c r="BB187" s="128"/>
      <c r="BC187" s="128"/>
      <c r="BD187" s="128"/>
      <c r="BE187" s="128"/>
      <c r="BF187" s="128"/>
      <c r="BG187" s="128"/>
      <c r="BH187" s="128"/>
      <c r="BI187" s="128"/>
      <c r="BJ187" s="128"/>
      <c r="BK187" s="128"/>
      <c r="BL187" s="128"/>
      <c r="BM187" s="128"/>
      <c r="BN187" s="128"/>
      <c r="BO187" s="128"/>
      <c r="BP187" s="128"/>
      <c r="BQ187" s="128"/>
      <c r="BR187" s="128"/>
      <c r="BS187" s="128"/>
      <c r="BT187" s="128"/>
      <c r="BU187" s="128"/>
      <c r="BV187" s="128"/>
      <c r="BW187" s="128"/>
      <c r="BX187" s="128"/>
      <c r="BY187" s="128"/>
      <c r="BZ187" s="128"/>
      <c r="CA187" s="128"/>
      <c r="CB187" s="128"/>
      <c r="CC187" s="128"/>
      <c r="CD187" s="128"/>
      <c r="CE187" s="128"/>
      <c r="CF187" s="128"/>
      <c r="CG187" s="128"/>
      <c r="CH187" s="128"/>
      <c r="CI187" s="128"/>
      <c r="CJ187" s="128"/>
      <c r="CK187" s="128"/>
      <c r="CL187" s="128"/>
      <c r="CM187" s="128"/>
      <c r="CN187" s="128"/>
    </row>
    <row r="188" spans="1:92" ht="293.25" customHeight="1" x14ac:dyDescent="0.3">
      <c r="A188" s="185">
        <v>187</v>
      </c>
      <c r="B188" s="147" t="s">
        <v>399</v>
      </c>
      <c r="C188" s="147" t="s">
        <v>403</v>
      </c>
      <c r="D188" s="147" t="s">
        <v>173</v>
      </c>
      <c r="E188" s="147" t="s">
        <v>18</v>
      </c>
      <c r="F188" s="145" t="s">
        <v>400</v>
      </c>
      <c r="G188" s="147" t="s">
        <v>401</v>
      </c>
      <c r="H188" s="140">
        <v>0</v>
      </c>
      <c r="I188" s="140">
        <v>0</v>
      </c>
      <c r="J188" s="140">
        <v>1</v>
      </c>
      <c r="K188" s="140">
        <v>0</v>
      </c>
      <c r="L188" s="140">
        <f t="shared" si="9"/>
        <v>1</v>
      </c>
      <c r="M188" s="147" t="s">
        <v>402</v>
      </c>
      <c r="N188" s="147" t="s">
        <v>342</v>
      </c>
      <c r="O188" s="147" t="s">
        <v>460</v>
      </c>
      <c r="P188" s="128"/>
      <c r="Q188" s="128"/>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28"/>
      <c r="AX188" s="128"/>
      <c r="AY188" s="128"/>
      <c r="AZ188" s="128"/>
      <c r="BA188" s="128"/>
      <c r="BB188" s="128"/>
      <c r="BC188" s="128"/>
      <c r="BD188" s="128"/>
      <c r="BE188" s="128"/>
      <c r="BF188" s="128"/>
      <c r="BG188" s="128"/>
      <c r="BH188" s="128"/>
      <c r="BI188" s="128"/>
      <c r="BJ188" s="128"/>
      <c r="BK188" s="128"/>
      <c r="BL188" s="128"/>
      <c r="BM188" s="128"/>
      <c r="BN188" s="128"/>
      <c r="BO188" s="128"/>
      <c r="BP188" s="128"/>
      <c r="BQ188" s="128"/>
      <c r="BR188" s="128"/>
      <c r="BS188" s="128"/>
      <c r="BT188" s="128"/>
      <c r="BU188" s="128"/>
      <c r="BV188" s="128"/>
      <c r="BW188" s="128"/>
      <c r="BX188" s="128"/>
      <c r="BY188" s="128"/>
      <c r="BZ188" s="128"/>
      <c r="CA188" s="128"/>
      <c r="CB188" s="128"/>
      <c r="CC188" s="128"/>
      <c r="CD188" s="128"/>
      <c r="CE188" s="128"/>
      <c r="CF188" s="128"/>
      <c r="CG188" s="128"/>
      <c r="CH188" s="128"/>
      <c r="CI188" s="128"/>
      <c r="CJ188" s="128"/>
      <c r="CK188" s="128"/>
      <c r="CL188" s="128"/>
      <c r="CM188" s="128"/>
      <c r="CN188" s="128"/>
    </row>
    <row r="189" spans="1:92" s="73" customFormat="1" ht="48" x14ac:dyDescent="0.3">
      <c r="A189" s="185">
        <v>188</v>
      </c>
      <c r="B189" s="147" t="s">
        <v>383</v>
      </c>
      <c r="C189" s="147" t="s">
        <v>707</v>
      </c>
      <c r="D189" s="147" t="s">
        <v>194</v>
      </c>
      <c r="E189" s="147" t="s">
        <v>18</v>
      </c>
      <c r="F189" s="145">
        <v>45175</v>
      </c>
      <c r="G189" s="172" t="s">
        <v>19</v>
      </c>
      <c r="H189" s="140">
        <v>0</v>
      </c>
      <c r="I189" s="140">
        <v>0</v>
      </c>
      <c r="J189" s="140">
        <v>137</v>
      </c>
      <c r="K189" s="140">
        <v>3</v>
      </c>
      <c r="L189" s="140">
        <f t="shared" si="9"/>
        <v>140</v>
      </c>
      <c r="M189" s="147" t="s">
        <v>29</v>
      </c>
      <c r="N189" s="147" t="s">
        <v>118</v>
      </c>
      <c r="O189" s="147" t="s">
        <v>708</v>
      </c>
      <c r="P189" s="128"/>
      <c r="Q189" s="128"/>
      <c r="R189" s="128"/>
      <c r="S189" s="128"/>
      <c r="T189" s="128"/>
      <c r="U189" s="128"/>
      <c r="V189" s="128"/>
      <c r="W189" s="128"/>
      <c r="X189" s="128"/>
      <c r="Y189" s="128"/>
      <c r="Z189" s="128"/>
      <c r="AA189" s="128"/>
      <c r="AB189" s="128"/>
      <c r="AC189" s="128"/>
      <c r="AD189" s="128"/>
      <c r="AE189" s="128"/>
      <c r="AF189" s="128"/>
      <c r="AG189" s="128"/>
      <c r="AH189" s="128"/>
      <c r="AI189" s="128"/>
      <c r="AJ189" s="128"/>
      <c r="AK189" s="128"/>
      <c r="AL189" s="128"/>
      <c r="AM189" s="128"/>
      <c r="AN189" s="128"/>
      <c r="AO189" s="128"/>
      <c r="AP189" s="128"/>
      <c r="AQ189" s="128"/>
      <c r="AR189" s="128"/>
      <c r="AS189" s="128"/>
      <c r="AT189" s="128"/>
      <c r="AU189" s="128"/>
      <c r="AV189" s="128"/>
      <c r="AW189" s="128"/>
      <c r="AX189" s="128"/>
      <c r="AY189" s="128"/>
      <c r="AZ189" s="128"/>
      <c r="BA189" s="128"/>
      <c r="BB189" s="128"/>
      <c r="BC189" s="128"/>
      <c r="BD189" s="128"/>
      <c r="BE189" s="128"/>
      <c r="BF189" s="128"/>
      <c r="BG189" s="128"/>
      <c r="BH189" s="128"/>
      <c r="BI189" s="128"/>
      <c r="BJ189" s="128"/>
      <c r="BK189" s="128"/>
      <c r="BL189" s="128"/>
      <c r="BM189" s="128"/>
      <c r="BN189" s="128"/>
      <c r="BO189" s="128"/>
      <c r="BP189" s="128"/>
      <c r="BQ189" s="128"/>
      <c r="BR189" s="128"/>
      <c r="BS189" s="128"/>
      <c r="BT189" s="128"/>
      <c r="BU189" s="128"/>
      <c r="BV189" s="128"/>
      <c r="BW189" s="128"/>
      <c r="BX189" s="128"/>
      <c r="BY189" s="128"/>
      <c r="BZ189" s="128"/>
      <c r="CA189" s="128"/>
      <c r="CB189" s="128"/>
      <c r="CC189" s="128"/>
      <c r="CD189" s="128"/>
      <c r="CE189" s="128"/>
      <c r="CF189" s="128"/>
      <c r="CG189" s="128"/>
      <c r="CH189" s="128"/>
      <c r="CI189" s="128"/>
      <c r="CJ189" s="128"/>
      <c r="CK189" s="128"/>
      <c r="CL189" s="128"/>
      <c r="CM189" s="128"/>
      <c r="CN189" s="128"/>
    </row>
    <row r="190" spans="1:92" s="73" customFormat="1" ht="248.25" customHeight="1" x14ac:dyDescent="0.3">
      <c r="A190" s="185">
        <v>189</v>
      </c>
      <c r="B190" s="147" t="s">
        <v>93</v>
      </c>
      <c r="C190" s="147" t="s">
        <v>432</v>
      </c>
      <c r="D190" s="147" t="s">
        <v>194</v>
      </c>
      <c r="E190" s="147" t="s">
        <v>18</v>
      </c>
      <c r="F190" s="145" t="s">
        <v>431</v>
      </c>
      <c r="G190" s="140" t="s">
        <v>19</v>
      </c>
      <c r="H190" s="140">
        <v>11</v>
      </c>
      <c r="I190" s="140">
        <v>94</v>
      </c>
      <c r="J190" s="140">
        <v>195</v>
      </c>
      <c r="K190" s="140">
        <v>0</v>
      </c>
      <c r="L190" s="140">
        <f t="shared" si="9"/>
        <v>300</v>
      </c>
      <c r="M190" s="147" t="s">
        <v>28</v>
      </c>
      <c r="N190" s="147" t="s">
        <v>118</v>
      </c>
      <c r="O190" s="147" t="s">
        <v>709</v>
      </c>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row>
    <row r="191" spans="1:92" s="65" customFormat="1" ht="84" x14ac:dyDescent="0.3">
      <c r="A191" s="185">
        <v>190</v>
      </c>
      <c r="B191" s="147" t="s">
        <v>25</v>
      </c>
      <c r="C191" s="147" t="s">
        <v>408</v>
      </c>
      <c r="D191" s="147" t="s">
        <v>194</v>
      </c>
      <c r="E191" s="147" t="s">
        <v>18</v>
      </c>
      <c r="F191" s="145">
        <v>45176</v>
      </c>
      <c r="G191" s="140" t="s">
        <v>19</v>
      </c>
      <c r="H191" s="140">
        <v>0</v>
      </c>
      <c r="I191" s="140">
        <v>40</v>
      </c>
      <c r="J191" s="140">
        <v>0</v>
      </c>
      <c r="K191" s="140">
        <v>0</v>
      </c>
      <c r="L191" s="140">
        <f t="shared" si="9"/>
        <v>40</v>
      </c>
      <c r="M191" s="147" t="s">
        <v>406</v>
      </c>
      <c r="N191" s="147" t="s">
        <v>118</v>
      </c>
      <c r="O191" s="147" t="s">
        <v>710</v>
      </c>
      <c r="P191" s="128"/>
      <c r="Q191" s="128"/>
      <c r="R191" s="128"/>
      <c r="S191" s="128"/>
      <c r="T191" s="128"/>
      <c r="U191" s="128"/>
      <c r="V191" s="128"/>
      <c r="W191" s="128"/>
      <c r="X191" s="128"/>
      <c r="Y191" s="128"/>
      <c r="Z191" s="128"/>
      <c r="AA191" s="128"/>
      <c r="AB191" s="128"/>
      <c r="AC191" s="128"/>
      <c r="AD191" s="128"/>
      <c r="AE191" s="128"/>
      <c r="AF191" s="128"/>
      <c r="AG191" s="128"/>
      <c r="AH191" s="128"/>
      <c r="AI191" s="128"/>
      <c r="AJ191" s="128"/>
      <c r="AK191" s="128"/>
      <c r="AL191" s="128"/>
      <c r="AM191" s="128"/>
      <c r="AN191" s="128"/>
      <c r="AO191" s="128"/>
      <c r="AP191" s="128"/>
      <c r="AQ191" s="128"/>
      <c r="AR191" s="128"/>
      <c r="AS191" s="128"/>
      <c r="AT191" s="128"/>
      <c r="AU191" s="128"/>
      <c r="AV191" s="128"/>
      <c r="AW191" s="128"/>
      <c r="AX191" s="128"/>
      <c r="AY191" s="128"/>
      <c r="AZ191" s="128"/>
      <c r="BA191" s="128"/>
      <c r="BB191" s="128"/>
      <c r="BC191" s="128"/>
      <c r="BD191" s="128"/>
      <c r="BE191" s="128"/>
      <c r="BF191" s="128"/>
      <c r="BG191" s="128"/>
      <c r="BH191" s="128"/>
      <c r="BI191" s="128"/>
      <c r="BJ191" s="128"/>
      <c r="BK191" s="128"/>
      <c r="BL191" s="128"/>
      <c r="BM191" s="128"/>
      <c r="BN191" s="128"/>
      <c r="BO191" s="128"/>
      <c r="BP191" s="128"/>
      <c r="BQ191" s="128"/>
      <c r="BR191" s="128"/>
      <c r="BS191" s="128"/>
      <c r="BT191" s="128"/>
      <c r="BU191" s="128"/>
      <c r="BV191" s="128"/>
      <c r="BW191" s="128"/>
      <c r="BX191" s="128"/>
      <c r="BY191" s="128"/>
      <c r="BZ191" s="128"/>
      <c r="CA191" s="128"/>
      <c r="CB191" s="128"/>
      <c r="CC191" s="128"/>
      <c r="CD191" s="128"/>
      <c r="CE191" s="128"/>
      <c r="CF191" s="128"/>
      <c r="CG191" s="128"/>
      <c r="CH191" s="128"/>
      <c r="CI191" s="128"/>
      <c r="CJ191" s="128"/>
      <c r="CK191" s="128"/>
      <c r="CL191" s="128"/>
      <c r="CM191" s="128"/>
      <c r="CN191" s="128"/>
    </row>
    <row r="192" spans="1:92" s="144" customFormat="1" ht="227.25" customHeight="1" x14ac:dyDescent="0.3">
      <c r="A192" s="185">
        <v>191</v>
      </c>
      <c r="B192" s="40" t="s">
        <v>17</v>
      </c>
      <c r="C192" s="147" t="s">
        <v>726</v>
      </c>
      <c r="D192" s="40" t="s">
        <v>194</v>
      </c>
      <c r="E192" s="147" t="s">
        <v>18</v>
      </c>
      <c r="F192" s="145" t="s">
        <v>725</v>
      </c>
      <c r="G192" s="147" t="s">
        <v>167</v>
      </c>
      <c r="H192" s="123">
        <v>190</v>
      </c>
      <c r="I192" s="140">
        <v>0</v>
      </c>
      <c r="J192" s="140">
        <v>3</v>
      </c>
      <c r="K192" s="140">
        <v>0</v>
      </c>
      <c r="L192" s="140">
        <f t="shared" si="9"/>
        <v>193</v>
      </c>
      <c r="M192" s="147" t="s">
        <v>28</v>
      </c>
      <c r="N192" s="147" t="s">
        <v>118</v>
      </c>
      <c r="O192" s="147" t="s">
        <v>727</v>
      </c>
      <c r="P192" s="128"/>
      <c r="Q192" s="128"/>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28"/>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c r="BZ192" s="128"/>
      <c r="CA192" s="128"/>
      <c r="CB192" s="128"/>
      <c r="CC192" s="128"/>
      <c r="CD192" s="128"/>
      <c r="CE192" s="128"/>
      <c r="CF192" s="128"/>
      <c r="CG192" s="128"/>
      <c r="CH192" s="128"/>
      <c r="CI192" s="128"/>
      <c r="CJ192" s="128"/>
      <c r="CK192" s="128"/>
      <c r="CL192" s="128"/>
      <c r="CM192" s="128"/>
      <c r="CN192" s="128"/>
    </row>
    <row r="193" spans="1:92" s="73" customFormat="1" ht="97.5" customHeight="1" x14ac:dyDescent="0.3">
      <c r="A193" s="185">
        <v>192</v>
      </c>
      <c r="B193" s="147" t="s">
        <v>394</v>
      </c>
      <c r="C193" s="147" t="s">
        <v>434</v>
      </c>
      <c r="D193" s="147" t="s">
        <v>194</v>
      </c>
      <c r="E193" s="147" t="s">
        <v>18</v>
      </c>
      <c r="F193" s="145">
        <v>45181</v>
      </c>
      <c r="G193" s="140" t="s">
        <v>19</v>
      </c>
      <c r="H193" s="140">
        <v>0</v>
      </c>
      <c r="I193" s="140">
        <v>19</v>
      </c>
      <c r="J193" s="140">
        <v>118</v>
      </c>
      <c r="K193" s="140">
        <v>5</v>
      </c>
      <c r="L193" s="140">
        <f t="shared" si="9"/>
        <v>142</v>
      </c>
      <c r="M193" s="147" t="s">
        <v>29</v>
      </c>
      <c r="N193" s="147" t="s">
        <v>118</v>
      </c>
      <c r="O193" s="147" t="s">
        <v>711</v>
      </c>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28"/>
      <c r="AX193" s="128"/>
      <c r="AY193" s="128"/>
      <c r="AZ193" s="128"/>
      <c r="BA193" s="128"/>
      <c r="BB193" s="128"/>
      <c r="BC193" s="128"/>
      <c r="BD193" s="128"/>
      <c r="BE193" s="128"/>
      <c r="BF193" s="128"/>
      <c r="BG193" s="128"/>
      <c r="BH193" s="128"/>
      <c r="BI193" s="128"/>
      <c r="BJ193" s="128"/>
      <c r="BK193" s="128"/>
      <c r="BL193" s="128"/>
      <c r="BM193" s="128"/>
      <c r="BN193" s="128"/>
      <c r="BO193" s="128"/>
      <c r="BP193" s="128"/>
      <c r="BQ193" s="128"/>
      <c r="BR193" s="128"/>
      <c r="BS193" s="128"/>
      <c r="BT193" s="128"/>
      <c r="BU193" s="128"/>
      <c r="BV193" s="128"/>
      <c r="BW193" s="128"/>
      <c r="BX193" s="128"/>
      <c r="BY193" s="128"/>
      <c r="BZ193" s="128"/>
      <c r="CA193" s="128"/>
      <c r="CB193" s="128"/>
      <c r="CC193" s="128"/>
      <c r="CD193" s="128"/>
      <c r="CE193" s="128"/>
      <c r="CF193" s="128"/>
      <c r="CG193" s="128"/>
      <c r="CH193" s="128"/>
      <c r="CI193" s="128"/>
      <c r="CJ193" s="128"/>
      <c r="CK193" s="128"/>
      <c r="CL193" s="128"/>
      <c r="CM193" s="128"/>
      <c r="CN193" s="128"/>
    </row>
    <row r="194" spans="1:92" s="65" customFormat="1" ht="72" x14ac:dyDescent="0.3">
      <c r="A194" s="185">
        <v>193</v>
      </c>
      <c r="B194" s="147" t="s">
        <v>60</v>
      </c>
      <c r="C194" s="147" t="s">
        <v>409</v>
      </c>
      <c r="D194" s="147" t="s">
        <v>194</v>
      </c>
      <c r="E194" s="147" t="s">
        <v>18</v>
      </c>
      <c r="F194" s="145">
        <v>45182</v>
      </c>
      <c r="G194" s="140" t="s">
        <v>19</v>
      </c>
      <c r="H194" s="140">
        <v>1</v>
      </c>
      <c r="I194" s="140">
        <v>80</v>
      </c>
      <c r="J194" s="140">
        <v>230</v>
      </c>
      <c r="K194" s="140">
        <v>12</v>
      </c>
      <c r="L194" s="140">
        <f t="shared" si="9"/>
        <v>323</v>
      </c>
      <c r="M194" s="147" t="s">
        <v>406</v>
      </c>
      <c r="N194" s="147" t="s">
        <v>118</v>
      </c>
      <c r="O194" s="147" t="s">
        <v>410</v>
      </c>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28"/>
      <c r="AX194" s="128"/>
      <c r="AY194" s="128"/>
      <c r="AZ194" s="128"/>
      <c r="BA194" s="128"/>
      <c r="BB194" s="128"/>
      <c r="BC194" s="128"/>
      <c r="BD194" s="128"/>
      <c r="BE194" s="128"/>
      <c r="BF194" s="128"/>
      <c r="BG194" s="128"/>
      <c r="BH194" s="128"/>
      <c r="BI194" s="128"/>
      <c r="BJ194" s="128"/>
      <c r="BK194" s="128"/>
      <c r="BL194" s="128"/>
      <c r="BM194" s="128"/>
      <c r="BN194" s="128"/>
      <c r="BO194" s="128"/>
      <c r="BP194" s="128"/>
      <c r="BQ194" s="128"/>
      <c r="BR194" s="128"/>
      <c r="BS194" s="128"/>
      <c r="BT194" s="128"/>
      <c r="BU194" s="128"/>
      <c r="BV194" s="128"/>
      <c r="BW194" s="128"/>
      <c r="BX194" s="128"/>
      <c r="BY194" s="128"/>
      <c r="BZ194" s="128"/>
      <c r="CA194" s="128"/>
      <c r="CB194" s="128"/>
      <c r="CC194" s="128"/>
      <c r="CD194" s="128"/>
      <c r="CE194" s="128"/>
      <c r="CF194" s="128"/>
      <c r="CG194" s="128"/>
      <c r="CH194" s="128"/>
      <c r="CI194" s="128"/>
      <c r="CJ194" s="128"/>
      <c r="CK194" s="128"/>
      <c r="CL194" s="128"/>
      <c r="CM194" s="128"/>
      <c r="CN194" s="128"/>
    </row>
    <row r="195" spans="1:92" s="65" customFormat="1" ht="72" x14ac:dyDescent="0.3">
      <c r="A195" s="185">
        <v>194</v>
      </c>
      <c r="B195" s="147" t="s">
        <v>25</v>
      </c>
      <c r="C195" s="147" t="s">
        <v>411</v>
      </c>
      <c r="D195" s="147" t="s">
        <v>194</v>
      </c>
      <c r="E195" s="147" t="s">
        <v>18</v>
      </c>
      <c r="F195" s="145">
        <v>45183</v>
      </c>
      <c r="G195" s="140" t="s">
        <v>19</v>
      </c>
      <c r="H195" s="140">
        <v>0</v>
      </c>
      <c r="I195" s="140">
        <v>28</v>
      </c>
      <c r="J195" s="140">
        <v>0</v>
      </c>
      <c r="K195" s="140">
        <v>0</v>
      </c>
      <c r="L195" s="140">
        <f t="shared" si="9"/>
        <v>28</v>
      </c>
      <c r="M195" s="147" t="s">
        <v>406</v>
      </c>
      <c r="N195" s="147" t="s">
        <v>118</v>
      </c>
      <c r="O195" s="147" t="s">
        <v>412</v>
      </c>
      <c r="P195" s="128"/>
      <c r="Q195" s="128"/>
      <c r="R195" s="128"/>
      <c r="S195" s="128"/>
      <c r="T195" s="128"/>
      <c r="U195" s="128"/>
      <c r="V195" s="128"/>
      <c r="W195" s="128"/>
      <c r="X195" s="128"/>
      <c r="Y195" s="128"/>
      <c r="Z195" s="128"/>
      <c r="AA195" s="128"/>
      <c r="AB195" s="128"/>
      <c r="AC195" s="128"/>
      <c r="AD195" s="128"/>
      <c r="AE195" s="128"/>
      <c r="AF195" s="128"/>
      <c r="AG195" s="128"/>
      <c r="AH195" s="128"/>
      <c r="AI195" s="128"/>
      <c r="AJ195" s="128"/>
      <c r="AK195" s="128"/>
      <c r="AL195" s="128"/>
      <c r="AM195" s="128"/>
      <c r="AN195" s="128"/>
      <c r="AO195" s="128"/>
      <c r="AP195" s="128"/>
      <c r="AQ195" s="128"/>
      <c r="AR195" s="128"/>
      <c r="AS195" s="128"/>
      <c r="AT195" s="128"/>
      <c r="AU195" s="128"/>
      <c r="AV195" s="128"/>
      <c r="AW195" s="128"/>
      <c r="AX195" s="128"/>
      <c r="AY195" s="128"/>
      <c r="AZ195" s="128"/>
      <c r="BA195" s="128"/>
      <c r="BB195" s="128"/>
      <c r="BC195" s="128"/>
      <c r="BD195" s="128"/>
      <c r="BE195" s="128"/>
      <c r="BF195" s="128"/>
      <c r="BG195" s="128"/>
      <c r="BH195" s="128"/>
      <c r="BI195" s="128"/>
      <c r="BJ195" s="128"/>
      <c r="BK195" s="128"/>
      <c r="BL195" s="128"/>
      <c r="BM195" s="128"/>
      <c r="BN195" s="128"/>
      <c r="BO195" s="128"/>
      <c r="BP195" s="128"/>
      <c r="BQ195" s="128"/>
      <c r="BR195" s="128"/>
      <c r="BS195" s="128"/>
      <c r="BT195" s="128"/>
      <c r="BU195" s="128"/>
      <c r="BV195" s="128"/>
      <c r="BW195" s="128"/>
      <c r="BX195" s="128"/>
      <c r="BY195" s="128"/>
      <c r="BZ195" s="128"/>
      <c r="CA195" s="128"/>
      <c r="CB195" s="128"/>
      <c r="CC195" s="128"/>
      <c r="CD195" s="128"/>
      <c r="CE195" s="128"/>
      <c r="CF195" s="128"/>
      <c r="CG195" s="128"/>
      <c r="CH195" s="128"/>
      <c r="CI195" s="128"/>
      <c r="CJ195" s="128"/>
      <c r="CK195" s="128"/>
      <c r="CL195" s="128"/>
      <c r="CM195" s="128"/>
      <c r="CN195" s="128"/>
    </row>
    <row r="196" spans="1:92" s="65" customFormat="1" ht="96" customHeight="1" x14ac:dyDescent="0.3">
      <c r="A196" s="185">
        <v>195</v>
      </c>
      <c r="B196" s="147" t="s">
        <v>60</v>
      </c>
      <c r="C196" s="147" t="s">
        <v>413</v>
      </c>
      <c r="D196" s="147" t="s">
        <v>194</v>
      </c>
      <c r="E196" s="147" t="s">
        <v>18</v>
      </c>
      <c r="F196" s="145">
        <v>45184</v>
      </c>
      <c r="G196" s="140" t="s">
        <v>19</v>
      </c>
      <c r="H196" s="140">
        <v>1</v>
      </c>
      <c r="I196" s="140">
        <v>30</v>
      </c>
      <c r="J196" s="140">
        <v>0</v>
      </c>
      <c r="K196" s="140">
        <v>0</v>
      </c>
      <c r="L196" s="140">
        <f t="shared" si="9"/>
        <v>31</v>
      </c>
      <c r="M196" s="147" t="s">
        <v>406</v>
      </c>
      <c r="N196" s="147" t="s">
        <v>118</v>
      </c>
      <c r="O196" s="147" t="s">
        <v>414</v>
      </c>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row>
    <row r="197" spans="1:92" s="129" customFormat="1" ht="54" customHeight="1" x14ac:dyDescent="0.3">
      <c r="A197" s="185">
        <v>196</v>
      </c>
      <c r="B197" s="147" t="s">
        <v>17</v>
      </c>
      <c r="C197" s="140" t="s">
        <v>624</v>
      </c>
      <c r="D197" s="140" t="s">
        <v>194</v>
      </c>
      <c r="E197" s="140" t="s">
        <v>18</v>
      </c>
      <c r="F197" s="145">
        <v>45186</v>
      </c>
      <c r="G197" s="140" t="s">
        <v>609</v>
      </c>
      <c r="H197" s="131">
        <v>1</v>
      </c>
      <c r="I197" s="131">
        <v>0</v>
      </c>
      <c r="J197" s="132">
        <v>20</v>
      </c>
      <c r="K197" s="132">
        <v>0</v>
      </c>
      <c r="L197" s="159">
        <f t="shared" si="9"/>
        <v>21</v>
      </c>
      <c r="M197" s="147" t="s">
        <v>698</v>
      </c>
      <c r="N197" s="140" t="s">
        <v>118</v>
      </c>
      <c r="O197" s="147" t="s">
        <v>625</v>
      </c>
      <c r="P197" s="128"/>
      <c r="Q197" s="128"/>
      <c r="R197" s="128"/>
      <c r="S197" s="128"/>
      <c r="T197" s="128"/>
      <c r="U197" s="128"/>
      <c r="V197" s="128"/>
      <c r="W197" s="128"/>
      <c r="X197" s="128"/>
      <c r="Y197" s="128"/>
      <c r="Z197" s="128"/>
      <c r="AA197" s="128"/>
      <c r="AB197" s="128"/>
      <c r="AC197" s="128"/>
      <c r="AD197" s="128"/>
      <c r="AE197" s="128"/>
      <c r="AF197" s="128"/>
      <c r="AG197" s="128"/>
      <c r="AH197" s="128"/>
      <c r="AI197" s="128"/>
      <c r="AJ197" s="128"/>
      <c r="AK197" s="128"/>
      <c r="AL197" s="128"/>
      <c r="AM197" s="128"/>
      <c r="AN197" s="128"/>
      <c r="AO197" s="128"/>
      <c r="AP197" s="128"/>
      <c r="AQ197" s="128"/>
      <c r="AR197" s="128"/>
      <c r="AS197" s="128"/>
      <c r="AT197" s="128"/>
      <c r="AU197" s="128"/>
      <c r="AV197" s="128"/>
      <c r="AW197" s="128"/>
      <c r="AX197" s="128"/>
      <c r="AY197" s="128"/>
      <c r="AZ197" s="128"/>
      <c r="BA197" s="128"/>
      <c r="BB197" s="128"/>
      <c r="BC197" s="128"/>
      <c r="BD197" s="128"/>
      <c r="BE197" s="128"/>
      <c r="BF197" s="128"/>
      <c r="BG197" s="128"/>
      <c r="BH197" s="128"/>
      <c r="BI197" s="128"/>
      <c r="BJ197" s="128"/>
      <c r="BK197" s="128"/>
      <c r="BL197" s="128"/>
      <c r="BM197" s="128"/>
      <c r="BN197" s="128"/>
      <c r="BO197" s="128"/>
      <c r="BP197" s="128"/>
      <c r="BQ197" s="128"/>
      <c r="BR197" s="128"/>
      <c r="BS197" s="128"/>
      <c r="BT197" s="128"/>
      <c r="BU197" s="128"/>
      <c r="BV197" s="128"/>
      <c r="BW197" s="128"/>
      <c r="BX197" s="128"/>
      <c r="BY197" s="128"/>
      <c r="BZ197" s="128"/>
      <c r="CA197" s="128"/>
      <c r="CB197" s="128"/>
      <c r="CC197" s="128"/>
      <c r="CD197" s="128"/>
      <c r="CE197" s="128"/>
      <c r="CF197" s="128"/>
      <c r="CG197" s="128"/>
      <c r="CH197" s="128"/>
      <c r="CI197" s="128"/>
      <c r="CJ197" s="128"/>
      <c r="CK197" s="128"/>
      <c r="CL197" s="128"/>
      <c r="CM197" s="128"/>
      <c r="CN197" s="128"/>
    </row>
    <row r="198" spans="1:92" s="65" customFormat="1" ht="72" x14ac:dyDescent="0.3">
      <c r="A198" s="185">
        <v>197</v>
      </c>
      <c r="B198" s="147" t="s">
        <v>60</v>
      </c>
      <c r="C198" s="147" t="s">
        <v>415</v>
      </c>
      <c r="D198" s="147" t="s">
        <v>194</v>
      </c>
      <c r="E198" s="147" t="s">
        <v>18</v>
      </c>
      <c r="F198" s="145">
        <v>45187</v>
      </c>
      <c r="G198" s="72" t="s">
        <v>19</v>
      </c>
      <c r="H198" s="140">
        <v>1</v>
      </c>
      <c r="I198" s="140">
        <v>35</v>
      </c>
      <c r="J198" s="140">
        <v>0</v>
      </c>
      <c r="K198" s="140">
        <v>0</v>
      </c>
      <c r="L198" s="140">
        <f t="shared" si="9"/>
        <v>36</v>
      </c>
      <c r="M198" s="147" t="s">
        <v>406</v>
      </c>
      <c r="N198" s="147" t="s">
        <v>118</v>
      </c>
      <c r="O198" s="147" t="s">
        <v>416</v>
      </c>
      <c r="P198" s="128"/>
      <c r="Q198" s="128"/>
      <c r="R198" s="128"/>
      <c r="S198" s="128"/>
      <c r="T198" s="128"/>
      <c r="U198" s="128"/>
      <c r="V198" s="128"/>
      <c r="W198" s="128"/>
      <c r="X198" s="128"/>
      <c r="Y198" s="128"/>
      <c r="Z198" s="128"/>
      <c r="AA198" s="128"/>
      <c r="AB198" s="128"/>
      <c r="AC198" s="128"/>
      <c r="AD198" s="128"/>
      <c r="AE198" s="128"/>
      <c r="AF198" s="128"/>
      <c r="AG198" s="128"/>
      <c r="AH198" s="128"/>
      <c r="AI198" s="128"/>
      <c r="AJ198" s="128"/>
      <c r="AK198" s="128"/>
      <c r="AL198" s="128"/>
      <c r="AM198" s="128"/>
      <c r="AN198" s="128"/>
      <c r="AO198" s="128"/>
      <c r="AP198" s="128"/>
      <c r="AQ198" s="128"/>
      <c r="AR198" s="128"/>
      <c r="AS198" s="128"/>
      <c r="AT198" s="128"/>
      <c r="AU198" s="128"/>
      <c r="AV198" s="128"/>
      <c r="AW198" s="128"/>
      <c r="AX198" s="128"/>
      <c r="AY198" s="128"/>
      <c r="AZ198" s="128"/>
      <c r="BA198" s="128"/>
      <c r="BB198" s="128"/>
      <c r="BC198" s="128"/>
      <c r="BD198" s="128"/>
      <c r="BE198" s="128"/>
      <c r="BF198" s="128"/>
      <c r="BG198" s="128"/>
      <c r="BH198" s="128"/>
      <c r="BI198" s="128"/>
      <c r="BJ198" s="128"/>
      <c r="BK198" s="128"/>
      <c r="BL198" s="128"/>
      <c r="BM198" s="128"/>
      <c r="BN198" s="128"/>
      <c r="BO198" s="128"/>
      <c r="BP198" s="128"/>
      <c r="BQ198" s="128"/>
      <c r="BR198" s="128"/>
      <c r="BS198" s="128"/>
      <c r="BT198" s="128"/>
      <c r="BU198" s="128"/>
      <c r="BV198" s="128"/>
      <c r="BW198" s="128"/>
      <c r="BX198" s="128"/>
      <c r="BY198" s="128"/>
      <c r="BZ198" s="128"/>
      <c r="CA198" s="128"/>
      <c r="CB198" s="128"/>
      <c r="CC198" s="128"/>
      <c r="CD198" s="128"/>
      <c r="CE198" s="128"/>
      <c r="CF198" s="128"/>
      <c r="CG198" s="128"/>
      <c r="CH198" s="128"/>
      <c r="CI198" s="128"/>
      <c r="CJ198" s="128"/>
      <c r="CK198" s="128"/>
      <c r="CL198" s="128"/>
      <c r="CM198" s="128"/>
      <c r="CN198" s="128"/>
    </row>
    <row r="199" spans="1:92" s="73" customFormat="1" ht="48" x14ac:dyDescent="0.3">
      <c r="A199" s="185">
        <v>198</v>
      </c>
      <c r="B199" s="147" t="s">
        <v>394</v>
      </c>
      <c r="C199" s="147" t="s">
        <v>712</v>
      </c>
      <c r="D199" s="147" t="s">
        <v>194</v>
      </c>
      <c r="E199" s="147" t="s">
        <v>18</v>
      </c>
      <c r="F199" s="145">
        <v>45187</v>
      </c>
      <c r="G199" s="72" t="s">
        <v>420</v>
      </c>
      <c r="H199" s="140">
        <v>0</v>
      </c>
      <c r="I199" s="140">
        <v>0</v>
      </c>
      <c r="J199" s="140">
        <v>24</v>
      </c>
      <c r="K199" s="140">
        <v>0</v>
      </c>
      <c r="L199" s="140">
        <f t="shared" si="9"/>
        <v>24</v>
      </c>
      <c r="M199" s="147" t="s">
        <v>565</v>
      </c>
      <c r="N199" s="147" t="s">
        <v>118</v>
      </c>
      <c r="O199" s="147" t="s">
        <v>713</v>
      </c>
      <c r="P199" s="128"/>
      <c r="Q199" s="128"/>
      <c r="R199" s="128"/>
      <c r="S199" s="128"/>
      <c r="T199" s="128"/>
      <c r="U199" s="128"/>
      <c r="V199" s="128"/>
      <c r="W199" s="128"/>
      <c r="X199" s="128"/>
      <c r="Y199" s="128"/>
      <c r="Z199" s="128"/>
      <c r="AA199" s="128"/>
      <c r="AB199" s="128"/>
      <c r="AC199" s="128"/>
      <c r="AD199" s="128"/>
      <c r="AE199" s="128"/>
      <c r="AF199" s="128"/>
      <c r="AG199" s="128"/>
      <c r="AH199" s="128"/>
      <c r="AI199" s="128"/>
      <c r="AJ199" s="128"/>
      <c r="AK199" s="128"/>
      <c r="AL199" s="128"/>
      <c r="AM199" s="128"/>
      <c r="AN199" s="128"/>
      <c r="AO199" s="128"/>
      <c r="AP199" s="128"/>
      <c r="AQ199" s="128"/>
      <c r="AR199" s="128"/>
      <c r="AS199" s="128"/>
      <c r="AT199" s="128"/>
      <c r="AU199" s="128"/>
      <c r="AV199" s="128"/>
      <c r="AW199" s="128"/>
      <c r="AX199" s="128"/>
      <c r="AY199" s="128"/>
      <c r="AZ199" s="128"/>
      <c r="BA199" s="128"/>
      <c r="BB199" s="128"/>
      <c r="BC199" s="128"/>
      <c r="BD199" s="128"/>
      <c r="BE199" s="128"/>
      <c r="BF199" s="128"/>
      <c r="BG199" s="128"/>
      <c r="BH199" s="128"/>
      <c r="BI199" s="128"/>
      <c r="BJ199" s="128"/>
      <c r="BK199" s="128"/>
      <c r="BL199" s="128"/>
      <c r="BM199" s="128"/>
      <c r="BN199" s="128"/>
      <c r="BO199" s="128"/>
      <c r="BP199" s="128"/>
      <c r="BQ199" s="128"/>
      <c r="BR199" s="128"/>
      <c r="BS199" s="128"/>
      <c r="BT199" s="128"/>
      <c r="BU199" s="128"/>
      <c r="BV199" s="128"/>
      <c r="BW199" s="128"/>
      <c r="BX199" s="128"/>
      <c r="BY199" s="128"/>
      <c r="BZ199" s="128"/>
      <c r="CA199" s="128"/>
      <c r="CB199" s="128"/>
      <c r="CC199" s="128"/>
      <c r="CD199" s="128"/>
      <c r="CE199" s="128"/>
      <c r="CF199" s="128"/>
      <c r="CG199" s="128"/>
      <c r="CH199" s="128"/>
      <c r="CI199" s="128"/>
      <c r="CJ199" s="128"/>
      <c r="CK199" s="128"/>
      <c r="CL199" s="128"/>
      <c r="CM199" s="128"/>
      <c r="CN199" s="128"/>
    </row>
    <row r="200" spans="1:92" s="73" customFormat="1" ht="60" x14ac:dyDescent="0.3">
      <c r="A200" s="185">
        <v>199</v>
      </c>
      <c r="B200" s="147" t="s">
        <v>394</v>
      </c>
      <c r="C200" s="147" t="s">
        <v>461</v>
      </c>
      <c r="D200" s="147" t="s">
        <v>194</v>
      </c>
      <c r="E200" s="147" t="s">
        <v>18</v>
      </c>
      <c r="F200" s="145">
        <v>45188</v>
      </c>
      <c r="G200" s="72" t="s">
        <v>19</v>
      </c>
      <c r="H200" s="140">
        <v>0</v>
      </c>
      <c r="I200" s="140">
        <v>0</v>
      </c>
      <c r="J200" s="140">
        <v>71</v>
      </c>
      <c r="K200" s="140">
        <v>0</v>
      </c>
      <c r="L200" s="140">
        <f t="shared" si="9"/>
        <v>71</v>
      </c>
      <c r="M200" s="147" t="s">
        <v>714</v>
      </c>
      <c r="N200" s="147" t="s">
        <v>118</v>
      </c>
      <c r="O200" s="147" t="s">
        <v>715</v>
      </c>
      <c r="P200" s="128"/>
      <c r="Q200" s="128"/>
      <c r="R200" s="128"/>
      <c r="S200" s="128"/>
      <c r="T200" s="128"/>
      <c r="U200" s="128"/>
      <c r="V200" s="128"/>
      <c r="W200" s="128"/>
      <c r="X200" s="128"/>
      <c r="Y200" s="128"/>
      <c r="Z200" s="128"/>
      <c r="AA200" s="128"/>
      <c r="AB200" s="128"/>
      <c r="AC200" s="128"/>
      <c r="AD200" s="128"/>
      <c r="AE200" s="128"/>
      <c r="AF200" s="128"/>
      <c r="AG200" s="128"/>
      <c r="AH200" s="128"/>
      <c r="AI200" s="128"/>
      <c r="AJ200" s="128"/>
      <c r="AK200" s="128"/>
      <c r="AL200" s="128"/>
      <c r="AM200" s="128"/>
      <c r="AN200" s="128"/>
      <c r="AO200" s="128"/>
      <c r="AP200" s="128"/>
      <c r="AQ200" s="128"/>
      <c r="AR200" s="128"/>
      <c r="AS200" s="128"/>
      <c r="AT200" s="128"/>
      <c r="AU200" s="128"/>
      <c r="AV200" s="128"/>
      <c r="AW200" s="128"/>
      <c r="AX200" s="128"/>
      <c r="AY200" s="128"/>
      <c r="AZ200" s="128"/>
      <c r="BA200" s="128"/>
      <c r="BB200" s="128"/>
      <c r="BC200" s="128"/>
      <c r="BD200" s="128"/>
      <c r="BE200" s="128"/>
      <c r="BF200" s="128"/>
      <c r="BG200" s="128"/>
      <c r="BH200" s="128"/>
      <c r="BI200" s="128"/>
      <c r="BJ200" s="128"/>
      <c r="BK200" s="128"/>
      <c r="BL200" s="128"/>
      <c r="BM200" s="128"/>
      <c r="BN200" s="128"/>
      <c r="BO200" s="128"/>
      <c r="BP200" s="128"/>
      <c r="BQ200" s="128"/>
      <c r="BR200" s="128"/>
      <c r="BS200" s="128"/>
      <c r="BT200" s="128"/>
      <c r="BU200" s="128"/>
      <c r="BV200" s="128"/>
      <c r="BW200" s="128"/>
      <c r="BX200" s="128"/>
      <c r="BY200" s="128"/>
      <c r="BZ200" s="128"/>
      <c r="CA200" s="128"/>
      <c r="CB200" s="128"/>
      <c r="CC200" s="128"/>
      <c r="CD200" s="128"/>
      <c r="CE200" s="128"/>
      <c r="CF200" s="128"/>
      <c r="CG200" s="128"/>
      <c r="CH200" s="128"/>
      <c r="CI200" s="128"/>
      <c r="CJ200" s="128"/>
      <c r="CK200" s="128"/>
      <c r="CL200" s="128"/>
      <c r="CM200" s="128"/>
      <c r="CN200" s="128"/>
    </row>
    <row r="201" spans="1:92" s="73" customFormat="1" ht="96" x14ac:dyDescent="0.3">
      <c r="A201" s="185">
        <v>200</v>
      </c>
      <c r="B201" s="147" t="s">
        <v>394</v>
      </c>
      <c r="C201" s="147" t="s">
        <v>421</v>
      </c>
      <c r="D201" s="147" t="s">
        <v>194</v>
      </c>
      <c r="E201" s="147" t="s">
        <v>18</v>
      </c>
      <c r="F201" s="145">
        <v>45188</v>
      </c>
      <c r="G201" s="72" t="s">
        <v>395</v>
      </c>
      <c r="H201" s="140">
        <v>33</v>
      </c>
      <c r="I201" s="140">
        <v>85</v>
      </c>
      <c r="J201" s="140">
        <v>179</v>
      </c>
      <c r="K201" s="140">
        <v>12</v>
      </c>
      <c r="L201" s="140">
        <f t="shared" si="9"/>
        <v>309</v>
      </c>
      <c r="M201" s="147" t="s">
        <v>29</v>
      </c>
      <c r="N201" s="147" t="s">
        <v>118</v>
      </c>
      <c r="O201" s="147" t="s">
        <v>728</v>
      </c>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28"/>
      <c r="AX201" s="128"/>
      <c r="AY201" s="128"/>
      <c r="AZ201" s="128"/>
      <c r="BA201" s="128"/>
      <c r="BB201" s="128"/>
      <c r="BC201" s="128"/>
      <c r="BD201" s="128"/>
      <c r="BE201" s="128"/>
      <c r="BF201" s="128"/>
      <c r="BG201" s="128"/>
      <c r="BH201" s="128"/>
      <c r="BI201" s="128"/>
      <c r="BJ201" s="128"/>
      <c r="BK201" s="128"/>
      <c r="BL201" s="128"/>
      <c r="BM201" s="128"/>
      <c r="BN201" s="128"/>
      <c r="BO201" s="128"/>
      <c r="BP201" s="128"/>
      <c r="BQ201" s="128"/>
      <c r="BR201" s="128"/>
      <c r="BS201" s="128"/>
      <c r="BT201" s="128"/>
      <c r="BU201" s="128"/>
      <c r="BV201" s="128"/>
      <c r="BW201" s="128"/>
      <c r="BX201" s="128"/>
      <c r="BY201" s="128"/>
      <c r="BZ201" s="128"/>
      <c r="CA201" s="128"/>
      <c r="CB201" s="128"/>
      <c r="CC201" s="128"/>
      <c r="CD201" s="128"/>
      <c r="CE201" s="128"/>
      <c r="CF201" s="128"/>
      <c r="CG201" s="128"/>
      <c r="CH201" s="128"/>
      <c r="CI201" s="128"/>
      <c r="CJ201" s="128"/>
      <c r="CK201" s="128"/>
      <c r="CL201" s="128"/>
      <c r="CM201" s="128"/>
      <c r="CN201" s="128"/>
    </row>
    <row r="202" spans="1:92" ht="145.5" customHeight="1" x14ac:dyDescent="0.3">
      <c r="A202" s="185">
        <v>201</v>
      </c>
      <c r="B202" s="147" t="s">
        <v>399</v>
      </c>
      <c r="C202" s="147" t="s">
        <v>404</v>
      </c>
      <c r="D202" s="147" t="s">
        <v>193</v>
      </c>
      <c r="E202" s="147" t="s">
        <v>18</v>
      </c>
      <c r="F202" s="145">
        <v>45190</v>
      </c>
      <c r="G202" s="147" t="s">
        <v>440</v>
      </c>
      <c r="H202" s="140">
        <v>0</v>
      </c>
      <c r="I202" s="140">
        <v>0</v>
      </c>
      <c r="J202" s="140">
        <v>3</v>
      </c>
      <c r="K202" s="140">
        <v>0</v>
      </c>
      <c r="L202" s="140">
        <f t="shared" si="9"/>
        <v>3</v>
      </c>
      <c r="M202" s="147" t="s">
        <v>402</v>
      </c>
      <c r="N202" s="147" t="s">
        <v>342</v>
      </c>
      <c r="O202" s="147" t="s">
        <v>716</v>
      </c>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row>
    <row r="203" spans="1:92" s="70" customFormat="1" ht="60.75" customHeight="1" x14ac:dyDescent="0.3">
      <c r="A203" s="185">
        <v>202</v>
      </c>
      <c r="B203" s="147" t="s">
        <v>15</v>
      </c>
      <c r="C203" s="147" t="s">
        <v>719</v>
      </c>
      <c r="D203" s="147" t="s">
        <v>194</v>
      </c>
      <c r="E203" s="147" t="s">
        <v>18</v>
      </c>
      <c r="F203" s="145">
        <v>45190</v>
      </c>
      <c r="G203" s="147" t="s">
        <v>418</v>
      </c>
      <c r="H203" s="140">
        <v>0</v>
      </c>
      <c r="I203" s="140">
        <v>0</v>
      </c>
      <c r="J203" s="140">
        <v>25</v>
      </c>
      <c r="K203" s="140">
        <v>0</v>
      </c>
      <c r="L203" s="140">
        <f>SUBTOTAL(9,H203:K203)</f>
        <v>25</v>
      </c>
      <c r="M203" s="147" t="s">
        <v>52</v>
      </c>
      <c r="N203" s="147" t="s">
        <v>118</v>
      </c>
      <c r="O203" s="147" t="s">
        <v>419</v>
      </c>
      <c r="P203" s="128"/>
      <c r="Q203" s="128"/>
      <c r="R203" s="128"/>
      <c r="S203" s="128"/>
      <c r="T203" s="128"/>
      <c r="U203" s="128"/>
      <c r="V203" s="128"/>
      <c r="W203" s="128"/>
      <c r="X203" s="128"/>
      <c r="Y203" s="128"/>
      <c r="Z203" s="128"/>
      <c r="AA203" s="128"/>
      <c r="AB203" s="128"/>
      <c r="AC203" s="128"/>
      <c r="AD203" s="128"/>
      <c r="AE203" s="128"/>
      <c r="AF203" s="128"/>
      <c r="AG203" s="128"/>
      <c r="AH203" s="128"/>
      <c r="AI203" s="128"/>
      <c r="AJ203" s="128"/>
      <c r="AK203" s="128"/>
      <c r="AL203" s="128"/>
      <c r="AM203" s="128"/>
      <c r="AN203" s="128"/>
      <c r="AO203" s="128"/>
      <c r="AP203" s="128"/>
      <c r="AQ203" s="128"/>
      <c r="AR203" s="128"/>
      <c r="AS203" s="128"/>
      <c r="AT203" s="128"/>
      <c r="AU203" s="128"/>
      <c r="AV203" s="128"/>
      <c r="AW203" s="128"/>
      <c r="AX203" s="128"/>
      <c r="AY203" s="128"/>
      <c r="AZ203" s="128"/>
      <c r="BA203" s="128"/>
      <c r="BB203" s="128"/>
      <c r="BC203" s="128"/>
      <c r="BD203" s="128"/>
      <c r="BE203" s="128"/>
      <c r="BF203" s="128"/>
      <c r="BG203" s="128"/>
      <c r="BH203" s="128"/>
      <c r="BI203" s="128"/>
      <c r="BJ203" s="128"/>
      <c r="BK203" s="128"/>
      <c r="BL203" s="128"/>
      <c r="BM203" s="128"/>
      <c r="BN203" s="128"/>
      <c r="BO203" s="128"/>
      <c r="BP203" s="128"/>
      <c r="BQ203" s="128"/>
      <c r="BR203" s="128"/>
      <c r="BS203" s="128"/>
      <c r="BT203" s="128"/>
      <c r="BU203" s="128"/>
      <c r="BV203" s="128"/>
      <c r="BW203" s="128"/>
      <c r="BX203" s="128"/>
      <c r="BY203" s="128"/>
      <c r="BZ203" s="128"/>
      <c r="CA203" s="128"/>
      <c r="CB203" s="128"/>
      <c r="CC203" s="128"/>
      <c r="CD203" s="128"/>
      <c r="CE203" s="128"/>
      <c r="CF203" s="128"/>
      <c r="CG203" s="128"/>
      <c r="CH203" s="128"/>
      <c r="CI203" s="128"/>
      <c r="CJ203" s="128"/>
      <c r="CK203" s="128"/>
      <c r="CL203" s="128"/>
      <c r="CM203" s="128"/>
      <c r="CN203" s="128"/>
    </row>
    <row r="204" spans="1:92" s="73" customFormat="1" ht="48" x14ac:dyDescent="0.3">
      <c r="A204" s="185">
        <v>203</v>
      </c>
      <c r="B204" s="147" t="s">
        <v>383</v>
      </c>
      <c r="C204" s="147" t="s">
        <v>718</v>
      </c>
      <c r="D204" s="147" t="s">
        <v>194</v>
      </c>
      <c r="E204" s="147" t="s">
        <v>18</v>
      </c>
      <c r="F204" s="89">
        <v>45190</v>
      </c>
      <c r="G204" s="147" t="s">
        <v>19</v>
      </c>
      <c r="H204" s="140">
        <v>0</v>
      </c>
      <c r="I204" s="140">
        <v>94</v>
      </c>
      <c r="J204" s="140">
        <v>0</v>
      </c>
      <c r="K204" s="140">
        <v>0</v>
      </c>
      <c r="L204" s="140">
        <f t="shared" ref="L204:L240" si="10">SUM(H204:K204)</f>
        <v>94</v>
      </c>
      <c r="M204" s="147" t="s">
        <v>29</v>
      </c>
      <c r="N204" s="147" t="s">
        <v>118</v>
      </c>
      <c r="O204" s="147" t="s">
        <v>717</v>
      </c>
      <c r="P204" s="128"/>
      <c r="Q204" s="128"/>
      <c r="R204" s="128"/>
      <c r="S204" s="128"/>
      <c r="T204" s="128"/>
      <c r="U204" s="128"/>
      <c r="V204" s="128"/>
      <c r="W204" s="128"/>
      <c r="X204" s="128"/>
      <c r="Y204" s="128"/>
      <c r="Z204" s="128"/>
      <c r="AA204" s="128"/>
      <c r="AB204" s="128"/>
      <c r="AC204" s="128"/>
      <c r="AD204" s="128"/>
      <c r="AE204" s="128"/>
      <c r="AF204" s="128"/>
      <c r="AG204" s="128"/>
      <c r="AH204" s="128"/>
      <c r="AI204" s="128"/>
      <c r="AJ204" s="128"/>
      <c r="AK204" s="128"/>
      <c r="AL204" s="128"/>
      <c r="AM204" s="128"/>
      <c r="AN204" s="128"/>
      <c r="AO204" s="128"/>
      <c r="AP204" s="128"/>
      <c r="AQ204" s="128"/>
      <c r="AR204" s="128"/>
      <c r="AS204" s="128"/>
      <c r="AT204" s="128"/>
      <c r="AU204" s="128"/>
      <c r="AV204" s="128"/>
      <c r="AW204" s="128"/>
      <c r="AX204" s="128"/>
      <c r="AY204" s="128"/>
      <c r="AZ204" s="128"/>
      <c r="BA204" s="128"/>
      <c r="BB204" s="128"/>
      <c r="BC204" s="128"/>
      <c r="BD204" s="128"/>
      <c r="BE204" s="128"/>
      <c r="BF204" s="128"/>
      <c r="BG204" s="128"/>
      <c r="BH204" s="128"/>
      <c r="BI204" s="128"/>
      <c r="BJ204" s="128"/>
      <c r="BK204" s="128"/>
      <c r="BL204" s="128"/>
      <c r="BM204" s="128"/>
      <c r="BN204" s="128"/>
      <c r="BO204" s="128"/>
      <c r="BP204" s="128"/>
      <c r="BQ204" s="128"/>
      <c r="BR204" s="128"/>
      <c r="BS204" s="128"/>
      <c r="BT204" s="128"/>
      <c r="BU204" s="128"/>
      <c r="BV204" s="128"/>
      <c r="BW204" s="128"/>
      <c r="BX204" s="128"/>
      <c r="BY204" s="128"/>
      <c r="BZ204" s="128"/>
      <c r="CA204" s="128"/>
      <c r="CB204" s="128"/>
      <c r="CC204" s="128"/>
      <c r="CD204" s="128"/>
      <c r="CE204" s="128"/>
      <c r="CF204" s="128"/>
      <c r="CG204" s="128"/>
      <c r="CH204" s="128"/>
      <c r="CI204" s="128"/>
      <c r="CJ204" s="128"/>
      <c r="CK204" s="128"/>
      <c r="CL204" s="128"/>
      <c r="CM204" s="128"/>
      <c r="CN204" s="128"/>
    </row>
    <row r="205" spans="1:92" s="73" customFormat="1" ht="72" x14ac:dyDescent="0.3">
      <c r="A205" s="185">
        <v>204</v>
      </c>
      <c r="B205" s="147" t="s">
        <v>394</v>
      </c>
      <c r="C205" s="147" t="s">
        <v>720</v>
      </c>
      <c r="D205" s="147" t="s">
        <v>194</v>
      </c>
      <c r="E205" s="134" t="s">
        <v>18</v>
      </c>
      <c r="F205" s="89">
        <v>45191</v>
      </c>
      <c r="G205" s="147" t="s">
        <v>424</v>
      </c>
      <c r="H205" s="140">
        <v>0</v>
      </c>
      <c r="I205" s="140">
        <v>0</v>
      </c>
      <c r="J205" s="140">
        <v>66</v>
      </c>
      <c r="K205" s="140">
        <v>0</v>
      </c>
      <c r="L205" s="140">
        <f t="shared" si="10"/>
        <v>66</v>
      </c>
      <c r="M205" s="147" t="s">
        <v>571</v>
      </c>
      <c r="N205" s="147" t="s">
        <v>118</v>
      </c>
      <c r="O205" s="147" t="s">
        <v>462</v>
      </c>
      <c r="P205" s="128"/>
      <c r="Q205" s="128"/>
      <c r="R205" s="128"/>
      <c r="S205" s="128"/>
      <c r="T205" s="128"/>
      <c r="U205" s="128"/>
      <c r="V205" s="128"/>
      <c r="W205" s="128"/>
      <c r="X205" s="128"/>
      <c r="Y205" s="128"/>
      <c r="Z205" s="128"/>
      <c r="AA205" s="128"/>
      <c r="AB205" s="128"/>
      <c r="AC205" s="128"/>
      <c r="AD205" s="128"/>
      <c r="AE205" s="128"/>
      <c r="AF205" s="128"/>
      <c r="AG205" s="128"/>
      <c r="AH205" s="128"/>
      <c r="AI205" s="128"/>
      <c r="AJ205" s="128"/>
      <c r="AK205" s="128"/>
      <c r="AL205" s="128"/>
      <c r="AM205" s="128"/>
      <c r="AN205" s="128"/>
      <c r="AO205" s="128"/>
      <c r="AP205" s="128"/>
      <c r="AQ205" s="128"/>
      <c r="AR205" s="128"/>
      <c r="AS205" s="128"/>
      <c r="AT205" s="128"/>
      <c r="AU205" s="128"/>
      <c r="AV205" s="128"/>
      <c r="AW205" s="128"/>
      <c r="AX205" s="128"/>
      <c r="AY205" s="128"/>
      <c r="AZ205" s="128"/>
      <c r="BA205" s="128"/>
      <c r="BB205" s="128"/>
      <c r="BC205" s="128"/>
      <c r="BD205" s="128"/>
      <c r="BE205" s="128"/>
      <c r="BF205" s="128"/>
      <c r="BG205" s="128"/>
      <c r="BH205" s="128"/>
      <c r="BI205" s="128"/>
      <c r="BJ205" s="128"/>
      <c r="BK205" s="128"/>
      <c r="BL205" s="128"/>
      <c r="BM205" s="128"/>
      <c r="BN205" s="128"/>
      <c r="BO205" s="128"/>
      <c r="BP205" s="128"/>
      <c r="BQ205" s="128"/>
      <c r="BR205" s="128"/>
      <c r="BS205" s="128"/>
      <c r="BT205" s="128"/>
      <c r="BU205" s="128"/>
      <c r="BV205" s="128"/>
      <c r="BW205" s="128"/>
      <c r="BX205" s="128"/>
      <c r="BY205" s="128"/>
      <c r="BZ205" s="128"/>
      <c r="CA205" s="128"/>
      <c r="CB205" s="128"/>
      <c r="CC205" s="128"/>
      <c r="CD205" s="128"/>
      <c r="CE205" s="128"/>
      <c r="CF205" s="128"/>
      <c r="CG205" s="128"/>
      <c r="CH205" s="128"/>
      <c r="CI205" s="128"/>
      <c r="CJ205" s="128"/>
      <c r="CK205" s="128"/>
      <c r="CL205" s="128"/>
      <c r="CM205" s="128"/>
      <c r="CN205" s="128"/>
    </row>
    <row r="206" spans="1:92" s="83" customFormat="1" ht="131.25" customHeight="1" x14ac:dyDescent="0.3">
      <c r="A206" s="185">
        <v>205</v>
      </c>
      <c r="B206" s="147" t="s">
        <v>36</v>
      </c>
      <c r="C206" s="147" t="s">
        <v>486</v>
      </c>
      <c r="D206" s="147" t="s">
        <v>194</v>
      </c>
      <c r="E206" s="147" t="s">
        <v>18</v>
      </c>
      <c r="F206" s="89">
        <v>45191</v>
      </c>
      <c r="G206" s="147" t="s">
        <v>19</v>
      </c>
      <c r="H206" s="140">
        <v>3</v>
      </c>
      <c r="I206" s="140">
        <v>12</v>
      </c>
      <c r="J206" s="140">
        <v>18</v>
      </c>
      <c r="K206" s="140">
        <v>0</v>
      </c>
      <c r="L206" s="140">
        <f t="shared" si="10"/>
        <v>33</v>
      </c>
      <c r="M206" s="147" t="s">
        <v>406</v>
      </c>
      <c r="N206" s="147" t="s">
        <v>118</v>
      </c>
      <c r="O206" s="147" t="s">
        <v>487</v>
      </c>
      <c r="P206" s="128"/>
      <c r="Q206" s="128"/>
      <c r="R206" s="128"/>
      <c r="S206" s="128"/>
      <c r="T206" s="128"/>
      <c r="U206" s="128"/>
      <c r="V206" s="128"/>
      <c r="W206" s="128"/>
      <c r="X206" s="128"/>
      <c r="Y206" s="128"/>
      <c r="Z206" s="128"/>
      <c r="AA206" s="128"/>
      <c r="AB206" s="128"/>
      <c r="AC206" s="128"/>
      <c r="AD206" s="128"/>
      <c r="AE206" s="128"/>
      <c r="AF206" s="128"/>
      <c r="AG206" s="128"/>
      <c r="AH206" s="128"/>
      <c r="AI206" s="128"/>
      <c r="AJ206" s="128"/>
      <c r="AK206" s="128"/>
      <c r="AL206" s="128"/>
      <c r="AM206" s="128"/>
      <c r="AN206" s="128"/>
      <c r="AO206" s="128"/>
      <c r="AP206" s="128"/>
      <c r="AQ206" s="128"/>
      <c r="AR206" s="128"/>
      <c r="AS206" s="128"/>
      <c r="AT206" s="128"/>
      <c r="AU206" s="128"/>
      <c r="AV206" s="128"/>
      <c r="AW206" s="128"/>
      <c r="AX206" s="128"/>
      <c r="AY206" s="128"/>
      <c r="AZ206" s="128"/>
      <c r="BA206" s="128"/>
      <c r="BB206" s="128"/>
      <c r="BC206" s="128"/>
      <c r="BD206" s="128"/>
      <c r="BE206" s="128"/>
      <c r="BF206" s="128"/>
      <c r="BG206" s="128"/>
      <c r="BH206" s="128"/>
      <c r="BI206" s="128"/>
      <c r="BJ206" s="128"/>
      <c r="BK206" s="128"/>
      <c r="BL206" s="128"/>
      <c r="BM206" s="128"/>
      <c r="BN206" s="128"/>
      <c r="BO206" s="128"/>
      <c r="BP206" s="128"/>
      <c r="BQ206" s="128"/>
      <c r="BR206" s="128"/>
      <c r="BS206" s="128"/>
      <c r="BT206" s="128"/>
      <c r="BU206" s="128"/>
      <c r="BV206" s="128"/>
      <c r="BW206" s="128"/>
      <c r="BX206" s="128"/>
      <c r="BY206" s="128"/>
      <c r="BZ206" s="128"/>
      <c r="CA206" s="128"/>
      <c r="CB206" s="128"/>
      <c r="CC206" s="128"/>
      <c r="CD206" s="128"/>
      <c r="CE206" s="128"/>
      <c r="CF206" s="128"/>
      <c r="CG206" s="128"/>
      <c r="CH206" s="128"/>
      <c r="CI206" s="128"/>
      <c r="CJ206" s="128"/>
      <c r="CK206" s="128"/>
      <c r="CL206" s="128"/>
      <c r="CM206" s="128"/>
      <c r="CN206" s="128"/>
    </row>
    <row r="207" spans="1:92" ht="70.5" customHeight="1" x14ac:dyDescent="0.3">
      <c r="A207" s="185">
        <v>206</v>
      </c>
      <c r="B207" s="147" t="s">
        <v>383</v>
      </c>
      <c r="C207" s="147" t="s">
        <v>721</v>
      </c>
      <c r="D207" s="147" t="s">
        <v>194</v>
      </c>
      <c r="E207" s="134" t="s">
        <v>18</v>
      </c>
      <c r="F207" s="89">
        <v>45194</v>
      </c>
      <c r="G207" s="147" t="s">
        <v>463</v>
      </c>
      <c r="H207" s="140">
        <v>0</v>
      </c>
      <c r="I207" s="140">
        <v>2</v>
      </c>
      <c r="J207" s="140">
        <v>13</v>
      </c>
      <c r="K207" s="140">
        <v>1</v>
      </c>
      <c r="L207" s="140">
        <f t="shared" si="10"/>
        <v>16</v>
      </c>
      <c r="M207" s="147" t="s">
        <v>29</v>
      </c>
      <c r="N207" s="147" t="s">
        <v>118</v>
      </c>
      <c r="O207" s="147" t="s">
        <v>464</v>
      </c>
      <c r="P207" s="128"/>
      <c r="Q207" s="128"/>
      <c r="R207" s="128"/>
      <c r="S207" s="128"/>
      <c r="T207" s="128"/>
      <c r="U207" s="128"/>
      <c r="V207" s="128"/>
      <c r="W207" s="128"/>
      <c r="X207" s="128"/>
      <c r="Y207" s="128"/>
      <c r="Z207" s="128"/>
      <c r="AA207" s="128"/>
      <c r="AB207" s="128"/>
      <c r="AC207" s="128"/>
      <c r="AD207" s="128"/>
      <c r="AE207" s="128"/>
      <c r="AF207" s="128"/>
      <c r="AG207" s="128"/>
      <c r="AH207" s="128"/>
      <c r="AI207" s="128"/>
      <c r="AJ207" s="128"/>
      <c r="AK207" s="128"/>
      <c r="AL207" s="128"/>
      <c r="AM207" s="128"/>
      <c r="AN207" s="128"/>
      <c r="AO207" s="128"/>
      <c r="AP207" s="128"/>
      <c r="AQ207" s="128"/>
      <c r="AR207" s="128"/>
      <c r="AS207" s="128"/>
      <c r="AT207" s="128"/>
      <c r="AU207" s="128"/>
      <c r="AV207" s="128"/>
      <c r="AW207" s="128"/>
      <c r="AX207" s="128"/>
      <c r="AY207" s="128"/>
      <c r="AZ207" s="128"/>
      <c r="BA207" s="128"/>
      <c r="BB207" s="128"/>
      <c r="BC207" s="128"/>
      <c r="BD207" s="128"/>
      <c r="BE207" s="128"/>
      <c r="BF207" s="128"/>
      <c r="BG207" s="128"/>
      <c r="BH207" s="128"/>
      <c r="BI207" s="128"/>
      <c r="BJ207" s="128"/>
      <c r="BK207" s="128"/>
      <c r="BL207" s="128"/>
      <c r="BM207" s="128"/>
      <c r="BN207" s="128"/>
      <c r="BO207" s="128"/>
      <c r="BP207" s="128"/>
      <c r="BQ207" s="128"/>
      <c r="BR207" s="128"/>
      <c r="BS207" s="128"/>
      <c r="BT207" s="128"/>
      <c r="BU207" s="128"/>
      <c r="BV207" s="128"/>
      <c r="BW207" s="128"/>
      <c r="BX207" s="128"/>
      <c r="BY207" s="128"/>
      <c r="BZ207" s="128"/>
      <c r="CA207" s="128"/>
      <c r="CB207" s="128"/>
      <c r="CC207" s="128"/>
      <c r="CD207" s="128"/>
      <c r="CE207" s="128"/>
      <c r="CF207" s="128"/>
      <c r="CG207" s="128"/>
      <c r="CH207" s="128"/>
      <c r="CI207" s="128"/>
      <c r="CJ207" s="128"/>
      <c r="CK207" s="128"/>
      <c r="CL207" s="128"/>
      <c r="CM207" s="128"/>
      <c r="CN207" s="128"/>
    </row>
    <row r="208" spans="1:92" ht="49.5" customHeight="1" x14ac:dyDescent="0.3">
      <c r="A208" s="185">
        <v>207</v>
      </c>
      <c r="B208" s="147" t="s">
        <v>394</v>
      </c>
      <c r="C208" s="147" t="s">
        <v>422</v>
      </c>
      <c r="D208" s="147" t="s">
        <v>194</v>
      </c>
      <c r="E208" s="134" t="s">
        <v>18</v>
      </c>
      <c r="F208" s="89">
        <v>45195</v>
      </c>
      <c r="G208" s="147" t="s">
        <v>423</v>
      </c>
      <c r="H208" s="140">
        <v>0</v>
      </c>
      <c r="I208" s="140">
        <v>19</v>
      </c>
      <c r="J208" s="140">
        <v>118</v>
      </c>
      <c r="K208" s="140">
        <v>5</v>
      </c>
      <c r="L208" s="140">
        <f t="shared" si="10"/>
        <v>142</v>
      </c>
      <c r="M208" s="147" t="s">
        <v>29</v>
      </c>
      <c r="N208" s="147" t="s">
        <v>118</v>
      </c>
      <c r="O208" s="147" t="s">
        <v>722</v>
      </c>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row>
    <row r="209" spans="1:92" s="85" customFormat="1" ht="95.25" customHeight="1" x14ac:dyDescent="0.3">
      <c r="A209" s="185">
        <v>208</v>
      </c>
      <c r="B209" s="87" t="s">
        <v>38</v>
      </c>
      <c r="C209" s="147" t="s">
        <v>490</v>
      </c>
      <c r="D209" s="147" t="s">
        <v>194</v>
      </c>
      <c r="E209" s="147" t="s">
        <v>18</v>
      </c>
      <c r="F209" s="89">
        <v>45195</v>
      </c>
      <c r="G209" s="147" t="s">
        <v>19</v>
      </c>
      <c r="H209" s="147">
        <v>3</v>
      </c>
      <c r="I209" s="147">
        <v>0</v>
      </c>
      <c r="J209" s="147">
        <v>40</v>
      </c>
      <c r="K209" s="147">
        <v>0</v>
      </c>
      <c r="L209" s="147">
        <f t="shared" si="10"/>
        <v>43</v>
      </c>
      <c r="M209" s="147" t="s">
        <v>406</v>
      </c>
      <c r="N209" s="147" t="s">
        <v>118</v>
      </c>
      <c r="O209" s="147" t="s">
        <v>723</v>
      </c>
      <c r="P209" s="128"/>
      <c r="Q209" s="128"/>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28"/>
      <c r="AX209" s="128"/>
      <c r="AY209" s="128"/>
      <c r="AZ209" s="128"/>
      <c r="BA209" s="128"/>
      <c r="BB209" s="128"/>
      <c r="BC209" s="128"/>
      <c r="BD209" s="128"/>
      <c r="BE209" s="128"/>
      <c r="BF209" s="128"/>
      <c r="BG209" s="128"/>
      <c r="BH209" s="128"/>
      <c r="BI209" s="128"/>
      <c r="BJ209" s="128"/>
      <c r="BK209" s="128"/>
      <c r="BL209" s="128"/>
      <c r="BM209" s="128"/>
      <c r="BN209" s="128"/>
      <c r="BO209" s="128"/>
      <c r="BP209" s="128"/>
      <c r="BQ209" s="128"/>
      <c r="BR209" s="128"/>
      <c r="BS209" s="128"/>
      <c r="BT209" s="128"/>
      <c r="BU209" s="128"/>
      <c r="BV209" s="128"/>
      <c r="BW209" s="128"/>
      <c r="BX209" s="128"/>
      <c r="BY209" s="128"/>
      <c r="BZ209" s="128"/>
      <c r="CA209" s="128"/>
      <c r="CB209" s="128"/>
      <c r="CC209" s="128"/>
      <c r="CD209" s="128"/>
      <c r="CE209" s="128"/>
      <c r="CF209" s="128"/>
      <c r="CG209" s="128"/>
      <c r="CH209" s="128"/>
      <c r="CI209" s="128"/>
      <c r="CJ209" s="128"/>
      <c r="CK209" s="128"/>
      <c r="CL209" s="128"/>
      <c r="CM209" s="128"/>
      <c r="CN209" s="128"/>
    </row>
    <row r="210" spans="1:92" s="90" customFormat="1" ht="83.25" customHeight="1" x14ac:dyDescent="0.3">
      <c r="A210" s="185">
        <v>209</v>
      </c>
      <c r="B210" s="147" t="s">
        <v>17</v>
      </c>
      <c r="C210" s="147" t="s">
        <v>506</v>
      </c>
      <c r="D210" s="147" t="s">
        <v>193</v>
      </c>
      <c r="E210" s="147" t="s">
        <v>18</v>
      </c>
      <c r="F210" s="145" t="s">
        <v>879</v>
      </c>
      <c r="G210" s="147" t="s">
        <v>642</v>
      </c>
      <c r="H210" s="152">
        <v>0</v>
      </c>
      <c r="I210" s="170">
        <v>1</v>
      </c>
      <c r="J210" s="171">
        <v>17</v>
      </c>
      <c r="K210" s="171">
        <v>1</v>
      </c>
      <c r="L210" s="171">
        <f t="shared" si="10"/>
        <v>19</v>
      </c>
      <c r="M210" s="147" t="s">
        <v>366</v>
      </c>
      <c r="N210" s="147" t="s">
        <v>342</v>
      </c>
      <c r="O210" s="147" t="s">
        <v>724</v>
      </c>
    </row>
    <row r="211" spans="1:92" s="136" customFormat="1" ht="71.25" customHeight="1" x14ac:dyDescent="0.3">
      <c r="A211" s="185">
        <v>210</v>
      </c>
      <c r="B211" s="140" t="s">
        <v>25</v>
      </c>
      <c r="C211" s="140" t="s">
        <v>552</v>
      </c>
      <c r="D211" s="140" t="s">
        <v>194</v>
      </c>
      <c r="E211" s="140" t="s">
        <v>18</v>
      </c>
      <c r="F211" s="134">
        <v>45198</v>
      </c>
      <c r="G211" s="140" t="s">
        <v>553</v>
      </c>
      <c r="H211" s="153">
        <v>0</v>
      </c>
      <c r="I211" s="173">
        <v>2</v>
      </c>
      <c r="J211" s="174">
        <v>7</v>
      </c>
      <c r="K211" s="174">
        <v>0</v>
      </c>
      <c r="L211" s="174">
        <f t="shared" si="10"/>
        <v>9</v>
      </c>
      <c r="M211" s="140" t="s">
        <v>31</v>
      </c>
      <c r="N211" s="140" t="s">
        <v>118</v>
      </c>
      <c r="O211" s="140" t="s">
        <v>729</v>
      </c>
    </row>
    <row r="212" spans="1:92" s="75" customFormat="1" ht="36" x14ac:dyDescent="0.3">
      <c r="A212" s="185">
        <v>211</v>
      </c>
      <c r="B212" s="147" t="s">
        <v>15</v>
      </c>
      <c r="C212" s="147" t="s">
        <v>444</v>
      </c>
      <c r="D212" s="147" t="s">
        <v>194</v>
      </c>
      <c r="E212" s="147" t="s">
        <v>18</v>
      </c>
      <c r="F212" s="145">
        <v>45198</v>
      </c>
      <c r="G212" s="147" t="s">
        <v>19</v>
      </c>
      <c r="H212" s="143">
        <v>0</v>
      </c>
      <c r="I212" s="162">
        <v>3</v>
      </c>
      <c r="J212" s="34">
        <v>113</v>
      </c>
      <c r="K212" s="34">
        <v>0</v>
      </c>
      <c r="L212" s="34">
        <f t="shared" si="10"/>
        <v>116</v>
      </c>
      <c r="M212" s="147" t="s">
        <v>133</v>
      </c>
      <c r="N212" s="147" t="s">
        <v>118</v>
      </c>
      <c r="O212" s="147" t="s">
        <v>465</v>
      </c>
    </row>
    <row r="213" spans="1:92" ht="48" x14ac:dyDescent="0.3">
      <c r="A213" s="185">
        <v>212</v>
      </c>
      <c r="B213" s="147" t="s">
        <v>17</v>
      </c>
      <c r="C213" s="147" t="s">
        <v>425</v>
      </c>
      <c r="D213" s="147" t="s">
        <v>194</v>
      </c>
      <c r="E213" s="134" t="s">
        <v>18</v>
      </c>
      <c r="F213" s="89">
        <v>45200</v>
      </c>
      <c r="G213" s="147" t="s">
        <v>426</v>
      </c>
      <c r="H213" s="140">
        <v>0</v>
      </c>
      <c r="I213" s="140">
        <v>18</v>
      </c>
      <c r="J213" s="140">
        <v>101</v>
      </c>
      <c r="K213" s="140">
        <v>2</v>
      </c>
      <c r="L213" s="140">
        <f t="shared" si="10"/>
        <v>121</v>
      </c>
      <c r="M213" s="147" t="s">
        <v>29</v>
      </c>
      <c r="N213" s="147" t="s">
        <v>118</v>
      </c>
      <c r="O213" s="147" t="s">
        <v>466</v>
      </c>
    </row>
    <row r="214" spans="1:92" s="130" customFormat="1" ht="48" x14ac:dyDescent="0.3">
      <c r="A214" s="185">
        <v>213</v>
      </c>
      <c r="B214" s="147" t="s">
        <v>17</v>
      </c>
      <c r="C214" s="147" t="s">
        <v>611</v>
      </c>
      <c r="D214" s="147" t="s">
        <v>194</v>
      </c>
      <c r="E214" s="134" t="s">
        <v>18</v>
      </c>
      <c r="F214" s="89">
        <v>45200</v>
      </c>
      <c r="G214" s="147" t="s">
        <v>612</v>
      </c>
      <c r="H214" s="140">
        <v>1</v>
      </c>
      <c r="I214" s="140">
        <v>0</v>
      </c>
      <c r="J214" s="140">
        <v>20</v>
      </c>
      <c r="K214" s="140">
        <v>0</v>
      </c>
      <c r="L214" s="140">
        <f t="shared" si="10"/>
        <v>21</v>
      </c>
      <c r="M214" s="147" t="s">
        <v>698</v>
      </c>
      <c r="N214" s="147" t="s">
        <v>118</v>
      </c>
      <c r="O214" s="147" t="s">
        <v>613</v>
      </c>
    </row>
    <row r="215" spans="1:92" ht="50.25" customHeight="1" x14ac:dyDescent="0.3">
      <c r="A215" s="185">
        <v>214</v>
      </c>
      <c r="B215" s="147" t="s">
        <v>383</v>
      </c>
      <c r="C215" s="147" t="s">
        <v>730</v>
      </c>
      <c r="D215" s="147" t="s">
        <v>194</v>
      </c>
      <c r="E215" s="134" t="s">
        <v>18</v>
      </c>
      <c r="F215" s="89">
        <v>45201</v>
      </c>
      <c r="G215" s="147" t="s">
        <v>423</v>
      </c>
      <c r="H215" s="140">
        <v>4</v>
      </c>
      <c r="I215" s="140">
        <v>0</v>
      </c>
      <c r="J215" s="140">
        <v>56</v>
      </c>
      <c r="K215" s="140">
        <v>0</v>
      </c>
      <c r="L215" s="140">
        <f t="shared" si="10"/>
        <v>60</v>
      </c>
      <c r="M215" s="147" t="s">
        <v>571</v>
      </c>
      <c r="N215" s="147" t="s">
        <v>118</v>
      </c>
      <c r="O215" s="147" t="s">
        <v>731</v>
      </c>
    </row>
    <row r="216" spans="1:92" ht="48" x14ac:dyDescent="0.3">
      <c r="A216" s="185">
        <v>215</v>
      </c>
      <c r="B216" s="147" t="s">
        <v>394</v>
      </c>
      <c r="C216" s="147" t="s">
        <v>427</v>
      </c>
      <c r="D216" s="147" t="s">
        <v>194</v>
      </c>
      <c r="E216" s="147" t="s">
        <v>18</v>
      </c>
      <c r="F216" s="89">
        <v>45201</v>
      </c>
      <c r="G216" s="147" t="s">
        <v>395</v>
      </c>
      <c r="H216" s="140">
        <v>0</v>
      </c>
      <c r="I216" s="140">
        <v>9</v>
      </c>
      <c r="J216" s="140">
        <v>183</v>
      </c>
      <c r="K216" s="140">
        <v>0</v>
      </c>
      <c r="L216" s="140">
        <f t="shared" si="10"/>
        <v>192</v>
      </c>
      <c r="M216" s="147" t="s">
        <v>732</v>
      </c>
      <c r="N216" s="147" t="s">
        <v>118</v>
      </c>
      <c r="O216" s="147" t="s">
        <v>733</v>
      </c>
    </row>
    <row r="217" spans="1:92" s="77" customFormat="1" ht="177" customHeight="1" x14ac:dyDescent="0.3">
      <c r="A217" s="185">
        <v>216</v>
      </c>
      <c r="B217" s="147" t="s">
        <v>25</v>
      </c>
      <c r="C217" s="147" t="s">
        <v>456</v>
      </c>
      <c r="D217" s="147" t="s">
        <v>194</v>
      </c>
      <c r="E217" s="147" t="s">
        <v>18</v>
      </c>
      <c r="F217" s="89">
        <v>45201</v>
      </c>
      <c r="G217" s="147" t="s">
        <v>423</v>
      </c>
      <c r="H217" s="140">
        <v>19</v>
      </c>
      <c r="I217" s="140">
        <v>40</v>
      </c>
      <c r="J217" s="140">
        <v>78</v>
      </c>
      <c r="K217" s="140">
        <v>0</v>
      </c>
      <c r="L217" s="140">
        <f t="shared" si="10"/>
        <v>137</v>
      </c>
      <c r="M217" s="147" t="s">
        <v>28</v>
      </c>
      <c r="N217" s="147" t="s">
        <v>118</v>
      </c>
      <c r="O217" s="147" t="s">
        <v>457</v>
      </c>
    </row>
    <row r="218" spans="1:92" s="86" customFormat="1" ht="84" customHeight="1" x14ac:dyDescent="0.3">
      <c r="A218" s="185">
        <v>217</v>
      </c>
      <c r="B218" s="87" t="s">
        <v>25</v>
      </c>
      <c r="C218" s="147" t="s">
        <v>491</v>
      </c>
      <c r="D218" s="147" t="s">
        <v>194</v>
      </c>
      <c r="E218" s="147" t="s">
        <v>18</v>
      </c>
      <c r="F218" s="89">
        <v>45201</v>
      </c>
      <c r="G218" s="147" t="s">
        <v>19</v>
      </c>
      <c r="H218" s="147">
        <v>3</v>
      </c>
      <c r="I218" s="147">
        <v>45</v>
      </c>
      <c r="J218" s="147">
        <v>0</v>
      </c>
      <c r="K218" s="147">
        <v>0</v>
      </c>
      <c r="L218" s="147">
        <f t="shared" si="10"/>
        <v>48</v>
      </c>
      <c r="M218" s="147" t="s">
        <v>406</v>
      </c>
      <c r="N218" s="147" t="s">
        <v>118</v>
      </c>
      <c r="O218" s="147" t="s">
        <v>492</v>
      </c>
    </row>
    <row r="219" spans="1:92" ht="60" x14ac:dyDescent="0.3">
      <c r="A219" s="185">
        <v>218</v>
      </c>
      <c r="B219" s="147" t="s">
        <v>394</v>
      </c>
      <c r="C219" s="147" t="s">
        <v>428</v>
      </c>
      <c r="D219" s="147" t="s">
        <v>194</v>
      </c>
      <c r="E219" s="147" t="s">
        <v>18</v>
      </c>
      <c r="F219" s="89">
        <v>45202</v>
      </c>
      <c r="G219" s="147" t="s">
        <v>429</v>
      </c>
      <c r="H219" s="140">
        <v>0</v>
      </c>
      <c r="I219" s="140">
        <v>1</v>
      </c>
      <c r="J219" s="140">
        <v>46</v>
      </c>
      <c r="K219" s="140">
        <v>0</v>
      </c>
      <c r="L219" s="140">
        <f t="shared" si="10"/>
        <v>47</v>
      </c>
      <c r="M219" s="147" t="s">
        <v>571</v>
      </c>
      <c r="N219" s="147" t="s">
        <v>118</v>
      </c>
      <c r="O219" s="147" t="s">
        <v>734</v>
      </c>
    </row>
    <row r="220" spans="1:92" ht="48" x14ac:dyDescent="0.3">
      <c r="A220" s="185">
        <v>219</v>
      </c>
      <c r="B220" s="147" t="s">
        <v>394</v>
      </c>
      <c r="C220" s="147" t="s">
        <v>838</v>
      </c>
      <c r="D220" s="147" t="s">
        <v>194</v>
      </c>
      <c r="E220" s="147" t="s">
        <v>18</v>
      </c>
      <c r="F220" s="89">
        <v>45205</v>
      </c>
      <c r="G220" s="147" t="s">
        <v>430</v>
      </c>
      <c r="H220" s="140">
        <v>0</v>
      </c>
      <c r="I220" s="140">
        <v>2</v>
      </c>
      <c r="J220" s="140">
        <v>106</v>
      </c>
      <c r="K220" s="140">
        <v>0</v>
      </c>
      <c r="L220" s="140">
        <f t="shared" si="10"/>
        <v>108</v>
      </c>
      <c r="M220" s="147" t="s">
        <v>732</v>
      </c>
      <c r="N220" s="147" t="s">
        <v>118</v>
      </c>
      <c r="O220" s="147" t="s">
        <v>735</v>
      </c>
    </row>
    <row r="221" spans="1:92" s="99" customFormat="1" ht="72" x14ac:dyDescent="0.3">
      <c r="A221" s="185">
        <v>220</v>
      </c>
      <c r="B221" s="147" t="s">
        <v>25</v>
      </c>
      <c r="C221" s="147" t="s">
        <v>552</v>
      </c>
      <c r="D221" s="147" t="s">
        <v>194</v>
      </c>
      <c r="E221" s="147" t="s">
        <v>18</v>
      </c>
      <c r="F221" s="145">
        <v>45205</v>
      </c>
      <c r="G221" s="147" t="s">
        <v>19</v>
      </c>
      <c r="H221" s="140">
        <v>0</v>
      </c>
      <c r="I221" s="140">
        <v>2</v>
      </c>
      <c r="J221" s="140">
        <v>6</v>
      </c>
      <c r="K221" s="140">
        <v>4</v>
      </c>
      <c r="L221" s="140">
        <f t="shared" si="10"/>
        <v>12</v>
      </c>
      <c r="M221" s="147" t="s">
        <v>31</v>
      </c>
      <c r="N221" s="147" t="s">
        <v>118</v>
      </c>
      <c r="O221" s="147" t="s">
        <v>736</v>
      </c>
    </row>
    <row r="222" spans="1:92" s="76" customFormat="1" ht="72" x14ac:dyDescent="0.3">
      <c r="A222" s="185">
        <v>221</v>
      </c>
      <c r="B222" s="34" t="s">
        <v>36</v>
      </c>
      <c r="C222" s="147" t="s">
        <v>450</v>
      </c>
      <c r="D222" s="147" t="s">
        <v>194</v>
      </c>
      <c r="E222" s="147" t="s">
        <v>18</v>
      </c>
      <c r="F222" s="145">
        <v>45205</v>
      </c>
      <c r="G222" s="147" t="s">
        <v>451</v>
      </c>
      <c r="H222" s="140">
        <v>30</v>
      </c>
      <c r="I222" s="140">
        <v>130</v>
      </c>
      <c r="J222" s="140">
        <v>160</v>
      </c>
      <c r="K222" s="140">
        <v>30</v>
      </c>
      <c r="L222" s="140">
        <f t="shared" si="10"/>
        <v>350</v>
      </c>
      <c r="M222" s="147" t="s">
        <v>28</v>
      </c>
      <c r="N222" s="147" t="s">
        <v>118</v>
      </c>
      <c r="O222" s="147" t="s">
        <v>467</v>
      </c>
    </row>
    <row r="223" spans="1:92" s="81" customFormat="1" ht="36" x14ac:dyDescent="0.3">
      <c r="A223" s="185">
        <v>222</v>
      </c>
      <c r="B223" s="34" t="s">
        <v>15</v>
      </c>
      <c r="C223" s="147" t="s">
        <v>138</v>
      </c>
      <c r="D223" s="147" t="s">
        <v>194</v>
      </c>
      <c r="E223" s="34" t="s">
        <v>18</v>
      </c>
      <c r="F223" s="145">
        <v>45205</v>
      </c>
      <c r="G223" s="147" t="s">
        <v>498</v>
      </c>
      <c r="H223" s="140">
        <v>0</v>
      </c>
      <c r="I223" s="140">
        <v>2</v>
      </c>
      <c r="J223" s="140">
        <v>6</v>
      </c>
      <c r="K223" s="140">
        <v>0</v>
      </c>
      <c r="L223" s="140">
        <f t="shared" si="10"/>
        <v>8</v>
      </c>
      <c r="M223" s="147" t="s">
        <v>52</v>
      </c>
      <c r="N223" s="147" t="s">
        <v>118</v>
      </c>
      <c r="O223" s="147" t="s">
        <v>737</v>
      </c>
    </row>
    <row r="224" spans="1:92" s="90" customFormat="1" ht="60" x14ac:dyDescent="0.3">
      <c r="A224" s="185">
        <v>223</v>
      </c>
      <c r="B224" s="34" t="s">
        <v>15</v>
      </c>
      <c r="C224" s="147" t="s">
        <v>738</v>
      </c>
      <c r="D224" s="34" t="s">
        <v>194</v>
      </c>
      <c r="E224" s="34" t="s">
        <v>18</v>
      </c>
      <c r="F224" s="145">
        <v>45205</v>
      </c>
      <c r="G224" s="147" t="s">
        <v>499</v>
      </c>
      <c r="H224" s="140">
        <v>0</v>
      </c>
      <c r="I224" s="140">
        <v>0</v>
      </c>
      <c r="J224" s="140">
        <v>16</v>
      </c>
      <c r="K224" s="140">
        <v>0</v>
      </c>
      <c r="L224" s="140">
        <f t="shared" si="10"/>
        <v>16</v>
      </c>
      <c r="M224" s="147" t="s">
        <v>52</v>
      </c>
      <c r="N224" s="147" t="s">
        <v>118</v>
      </c>
      <c r="O224" s="147" t="s">
        <v>500</v>
      </c>
    </row>
    <row r="225" spans="1:15" s="133" customFormat="1" ht="48" x14ac:dyDescent="0.3">
      <c r="A225" s="185">
        <v>224</v>
      </c>
      <c r="B225" s="34" t="s">
        <v>17</v>
      </c>
      <c r="C225" s="147" t="s">
        <v>614</v>
      </c>
      <c r="D225" s="34" t="s">
        <v>194</v>
      </c>
      <c r="E225" s="34" t="s">
        <v>18</v>
      </c>
      <c r="F225" s="145">
        <v>45207</v>
      </c>
      <c r="G225" s="147" t="s">
        <v>615</v>
      </c>
      <c r="H225" s="140">
        <v>1</v>
      </c>
      <c r="I225" s="140">
        <v>0</v>
      </c>
      <c r="J225" s="140">
        <v>20</v>
      </c>
      <c r="K225" s="140">
        <v>0</v>
      </c>
      <c r="L225" s="140">
        <f t="shared" si="10"/>
        <v>21</v>
      </c>
      <c r="M225" s="147" t="s">
        <v>698</v>
      </c>
      <c r="N225" s="147" t="s">
        <v>118</v>
      </c>
      <c r="O225" s="147" t="s">
        <v>616</v>
      </c>
    </row>
    <row r="226" spans="1:15" s="73" customFormat="1" ht="108" x14ac:dyDescent="0.3">
      <c r="A226" s="185">
        <v>225</v>
      </c>
      <c r="B226" s="147" t="s">
        <v>17</v>
      </c>
      <c r="C226" s="147" t="s">
        <v>452</v>
      </c>
      <c r="D226" s="147" t="s">
        <v>162</v>
      </c>
      <c r="E226" s="147" t="s">
        <v>18</v>
      </c>
      <c r="F226" s="89">
        <v>45207</v>
      </c>
      <c r="G226" s="147" t="s">
        <v>453</v>
      </c>
      <c r="H226" s="140">
        <v>0</v>
      </c>
      <c r="I226" s="140">
        <v>3</v>
      </c>
      <c r="J226" s="140">
        <v>14</v>
      </c>
      <c r="K226" s="140">
        <v>26</v>
      </c>
      <c r="L226" s="140">
        <f t="shared" si="10"/>
        <v>43</v>
      </c>
      <c r="M226" s="147" t="s">
        <v>31</v>
      </c>
      <c r="N226" s="147" t="s">
        <v>118</v>
      </c>
      <c r="O226" s="147" t="s">
        <v>454</v>
      </c>
    </row>
    <row r="227" spans="1:15" ht="84" x14ac:dyDescent="0.3">
      <c r="A227" s="185">
        <v>226</v>
      </c>
      <c r="B227" s="147" t="s">
        <v>93</v>
      </c>
      <c r="C227" s="147" t="s">
        <v>436</v>
      </c>
      <c r="D227" s="147" t="s">
        <v>194</v>
      </c>
      <c r="E227" s="147" t="s">
        <v>18</v>
      </c>
      <c r="F227" s="89">
        <v>45208</v>
      </c>
      <c r="G227" s="147" t="s">
        <v>395</v>
      </c>
      <c r="H227" s="140">
        <v>10</v>
      </c>
      <c r="I227" s="140">
        <v>40</v>
      </c>
      <c r="J227" s="140">
        <v>70</v>
      </c>
      <c r="K227" s="140">
        <v>3</v>
      </c>
      <c r="L227" s="140">
        <f t="shared" si="10"/>
        <v>123</v>
      </c>
      <c r="M227" s="147" t="s">
        <v>372</v>
      </c>
      <c r="N227" s="147" t="s">
        <v>118</v>
      </c>
      <c r="O227" s="147" t="s">
        <v>455</v>
      </c>
    </row>
    <row r="228" spans="1:15" ht="142.5" customHeight="1" x14ac:dyDescent="0.3">
      <c r="A228" s="185">
        <v>227</v>
      </c>
      <c r="B228" s="66" t="s">
        <v>15</v>
      </c>
      <c r="C228" s="66" t="s">
        <v>739</v>
      </c>
      <c r="D228" s="66" t="s">
        <v>194</v>
      </c>
      <c r="E228" s="66" t="s">
        <v>18</v>
      </c>
      <c r="F228" s="175">
        <v>45209</v>
      </c>
      <c r="G228" s="66" t="s">
        <v>458</v>
      </c>
      <c r="H228" s="132">
        <v>10</v>
      </c>
      <c r="I228" s="66">
        <v>300</v>
      </c>
      <c r="J228" s="66">
        <v>650</v>
      </c>
      <c r="K228" s="66">
        <v>50</v>
      </c>
      <c r="L228" s="132">
        <f t="shared" si="10"/>
        <v>1010</v>
      </c>
      <c r="M228" s="66" t="s">
        <v>34</v>
      </c>
      <c r="N228" s="66" t="s">
        <v>118</v>
      </c>
      <c r="O228" s="66" t="s">
        <v>740</v>
      </c>
    </row>
    <row r="229" spans="1:15" s="80" customFormat="1" ht="93.75" customHeight="1" x14ac:dyDescent="0.3">
      <c r="A229" s="185">
        <v>228</v>
      </c>
      <c r="B229" s="176" t="s">
        <v>135</v>
      </c>
      <c r="C229" s="177" t="s">
        <v>481</v>
      </c>
      <c r="D229" s="66" t="s">
        <v>194</v>
      </c>
      <c r="E229" s="176" t="s">
        <v>18</v>
      </c>
      <c r="F229" s="178">
        <v>45209</v>
      </c>
      <c r="G229" s="179" t="s">
        <v>19</v>
      </c>
      <c r="H229" s="176">
        <v>0</v>
      </c>
      <c r="I229" s="176">
        <v>15</v>
      </c>
      <c r="J229" s="176">
        <v>55</v>
      </c>
      <c r="K229" s="176">
        <v>0</v>
      </c>
      <c r="L229" s="176">
        <f t="shared" si="10"/>
        <v>70</v>
      </c>
      <c r="M229" s="177" t="s">
        <v>28</v>
      </c>
      <c r="N229" s="177" t="s">
        <v>342</v>
      </c>
      <c r="O229" s="147" t="s">
        <v>741</v>
      </c>
    </row>
    <row r="230" spans="1:15" ht="168" x14ac:dyDescent="0.3">
      <c r="A230" s="185">
        <v>229</v>
      </c>
      <c r="B230" s="147" t="s">
        <v>15</v>
      </c>
      <c r="C230" s="147" t="s">
        <v>742</v>
      </c>
      <c r="D230" s="147" t="s">
        <v>194</v>
      </c>
      <c r="E230" s="147" t="s">
        <v>18</v>
      </c>
      <c r="F230" s="145">
        <v>45210</v>
      </c>
      <c r="G230" s="147" t="s">
        <v>395</v>
      </c>
      <c r="H230" s="143">
        <v>10</v>
      </c>
      <c r="I230" s="162">
        <v>180</v>
      </c>
      <c r="J230" s="34">
        <v>320</v>
      </c>
      <c r="K230" s="34">
        <v>30</v>
      </c>
      <c r="L230" s="34">
        <f t="shared" si="10"/>
        <v>540</v>
      </c>
      <c r="M230" s="147" t="s">
        <v>28</v>
      </c>
      <c r="N230" s="147" t="s">
        <v>118</v>
      </c>
      <c r="O230" s="147" t="s">
        <v>447</v>
      </c>
    </row>
    <row r="231" spans="1:15" s="76" customFormat="1" ht="36" x14ac:dyDescent="0.3">
      <c r="A231" s="185">
        <v>230</v>
      </c>
      <c r="B231" s="147" t="s">
        <v>15</v>
      </c>
      <c r="C231" s="147" t="s">
        <v>743</v>
      </c>
      <c r="D231" s="147" t="s">
        <v>194</v>
      </c>
      <c r="E231" s="147" t="s">
        <v>18</v>
      </c>
      <c r="F231" s="145">
        <v>45210</v>
      </c>
      <c r="G231" s="147" t="s">
        <v>19</v>
      </c>
      <c r="H231" s="143">
        <v>0</v>
      </c>
      <c r="I231" s="162">
        <v>2</v>
      </c>
      <c r="J231" s="34">
        <v>16</v>
      </c>
      <c r="K231" s="34">
        <v>0</v>
      </c>
      <c r="L231" s="34">
        <f t="shared" si="10"/>
        <v>18</v>
      </c>
      <c r="M231" s="147" t="s">
        <v>133</v>
      </c>
      <c r="N231" s="147" t="s">
        <v>118</v>
      </c>
      <c r="O231" s="147" t="s">
        <v>468</v>
      </c>
    </row>
    <row r="232" spans="1:15" ht="228" x14ac:dyDescent="0.3">
      <c r="A232" s="185">
        <v>231</v>
      </c>
      <c r="B232" s="34" t="s">
        <v>15</v>
      </c>
      <c r="C232" s="147" t="s">
        <v>448</v>
      </c>
      <c r="D232" s="147" t="s">
        <v>194</v>
      </c>
      <c r="E232" s="147" t="s">
        <v>18</v>
      </c>
      <c r="F232" s="145">
        <v>45211</v>
      </c>
      <c r="G232" s="147" t="s">
        <v>395</v>
      </c>
      <c r="H232" s="143">
        <v>110</v>
      </c>
      <c r="I232" s="143">
        <v>120</v>
      </c>
      <c r="J232" s="143">
        <v>240</v>
      </c>
      <c r="K232" s="143">
        <v>40</v>
      </c>
      <c r="L232" s="143">
        <f t="shared" si="10"/>
        <v>510</v>
      </c>
      <c r="M232" s="147" t="s">
        <v>28</v>
      </c>
      <c r="N232" s="147" t="s">
        <v>118</v>
      </c>
      <c r="O232" s="147" t="s">
        <v>449</v>
      </c>
    </row>
    <row r="233" spans="1:15" s="99" customFormat="1" ht="48" x14ac:dyDescent="0.3">
      <c r="A233" s="185">
        <v>232</v>
      </c>
      <c r="B233" s="34" t="s">
        <v>25</v>
      </c>
      <c r="C233" s="147" t="s">
        <v>552</v>
      </c>
      <c r="D233" s="147" t="s">
        <v>194</v>
      </c>
      <c r="E233" s="147" t="s">
        <v>18</v>
      </c>
      <c r="F233" s="145">
        <v>45212</v>
      </c>
      <c r="G233" s="147" t="s">
        <v>19</v>
      </c>
      <c r="H233" s="143">
        <v>0</v>
      </c>
      <c r="I233" s="143">
        <v>1</v>
      </c>
      <c r="J233" s="143">
        <v>16</v>
      </c>
      <c r="K233" s="143">
        <v>0</v>
      </c>
      <c r="L233" s="143">
        <f t="shared" si="10"/>
        <v>17</v>
      </c>
      <c r="M233" s="147" t="s">
        <v>31</v>
      </c>
      <c r="N233" s="147" t="s">
        <v>118</v>
      </c>
      <c r="O233" s="147" t="s">
        <v>744</v>
      </c>
    </row>
    <row r="234" spans="1:15" s="78" customFormat="1" ht="82.5" customHeight="1" x14ac:dyDescent="0.3">
      <c r="A234" s="185">
        <v>233</v>
      </c>
      <c r="B234" s="166" t="s">
        <v>17</v>
      </c>
      <c r="C234" s="66" t="s">
        <v>471</v>
      </c>
      <c r="D234" s="66" t="s">
        <v>194</v>
      </c>
      <c r="E234" s="66" t="s">
        <v>18</v>
      </c>
      <c r="F234" s="82">
        <v>45213</v>
      </c>
      <c r="G234" s="66" t="s">
        <v>313</v>
      </c>
      <c r="H234" s="131">
        <v>20</v>
      </c>
      <c r="I234" s="131">
        <v>40</v>
      </c>
      <c r="J234" s="132">
        <v>110</v>
      </c>
      <c r="K234" s="132">
        <v>30</v>
      </c>
      <c r="L234" s="143">
        <f t="shared" si="10"/>
        <v>200</v>
      </c>
      <c r="M234" s="66" t="s">
        <v>472</v>
      </c>
      <c r="N234" s="66" t="s">
        <v>118</v>
      </c>
      <c r="O234" s="66" t="s">
        <v>745</v>
      </c>
    </row>
    <row r="235" spans="1:15" ht="48" x14ac:dyDescent="0.3">
      <c r="A235" s="185">
        <v>234</v>
      </c>
      <c r="B235" s="140" t="s">
        <v>15</v>
      </c>
      <c r="C235" s="140" t="s">
        <v>469</v>
      </c>
      <c r="D235" s="147" t="s">
        <v>194</v>
      </c>
      <c r="E235" s="147" t="s">
        <v>18</v>
      </c>
      <c r="F235" s="79">
        <v>45214</v>
      </c>
      <c r="G235" s="147" t="s">
        <v>423</v>
      </c>
      <c r="H235" s="140">
        <v>15</v>
      </c>
      <c r="I235" s="140">
        <v>5</v>
      </c>
      <c r="J235" s="140">
        <v>13</v>
      </c>
      <c r="K235" s="140">
        <v>0</v>
      </c>
      <c r="L235" s="140">
        <f t="shared" si="10"/>
        <v>33</v>
      </c>
      <c r="M235" s="140" t="s">
        <v>664</v>
      </c>
      <c r="N235" s="147" t="s">
        <v>118</v>
      </c>
      <c r="O235" s="140" t="s">
        <v>470</v>
      </c>
    </row>
    <row r="236" spans="1:15" ht="141.75" customHeight="1" x14ac:dyDescent="0.3">
      <c r="A236" s="185">
        <v>235</v>
      </c>
      <c r="B236" s="177" t="s">
        <v>135</v>
      </c>
      <c r="C236" s="140" t="s">
        <v>482</v>
      </c>
      <c r="D236" s="176" t="s">
        <v>68</v>
      </c>
      <c r="E236" s="176" t="s">
        <v>18</v>
      </c>
      <c r="F236" s="178">
        <v>45215</v>
      </c>
      <c r="G236" s="179" t="s">
        <v>19</v>
      </c>
      <c r="H236" s="176">
        <v>9</v>
      </c>
      <c r="I236" s="176">
        <v>11</v>
      </c>
      <c r="J236" s="176">
        <v>73</v>
      </c>
      <c r="K236" s="176">
        <v>10</v>
      </c>
      <c r="L236" s="176">
        <f t="shared" si="10"/>
        <v>103</v>
      </c>
      <c r="M236" s="147" t="s">
        <v>28</v>
      </c>
      <c r="N236" s="147" t="s">
        <v>342</v>
      </c>
      <c r="O236" s="140" t="s">
        <v>746</v>
      </c>
    </row>
    <row r="237" spans="1:15" ht="94.5" customHeight="1" x14ac:dyDescent="0.3">
      <c r="A237" s="185">
        <v>236</v>
      </c>
      <c r="B237" s="147" t="s">
        <v>93</v>
      </c>
      <c r="C237" s="147" t="s">
        <v>473</v>
      </c>
      <c r="D237" s="147" t="s">
        <v>173</v>
      </c>
      <c r="E237" s="147" t="s">
        <v>18</v>
      </c>
      <c r="F237" s="145" t="s">
        <v>880</v>
      </c>
      <c r="G237" s="147" t="s">
        <v>474</v>
      </c>
      <c r="H237" s="147">
        <v>0</v>
      </c>
      <c r="I237" s="147">
        <v>0</v>
      </c>
      <c r="J237" s="147">
        <v>0</v>
      </c>
      <c r="K237" s="147">
        <v>2</v>
      </c>
      <c r="L237" s="147">
        <f t="shared" si="10"/>
        <v>2</v>
      </c>
      <c r="M237" s="147" t="s">
        <v>31</v>
      </c>
      <c r="N237" s="147" t="s">
        <v>342</v>
      </c>
      <c r="O237" s="147" t="s">
        <v>747</v>
      </c>
    </row>
    <row r="238" spans="1:15" s="78" customFormat="1" ht="63" customHeight="1" x14ac:dyDescent="0.3">
      <c r="A238" s="185">
        <v>237</v>
      </c>
      <c r="B238" s="147" t="s">
        <v>394</v>
      </c>
      <c r="C238" s="147" t="s">
        <v>748</v>
      </c>
      <c r="D238" s="147" t="s">
        <v>194</v>
      </c>
      <c r="E238" s="147" t="s">
        <v>18</v>
      </c>
      <c r="F238" s="145">
        <v>45216</v>
      </c>
      <c r="G238" s="147" t="s">
        <v>395</v>
      </c>
      <c r="H238" s="147">
        <v>7</v>
      </c>
      <c r="I238" s="147">
        <v>321</v>
      </c>
      <c r="J238" s="147">
        <v>0</v>
      </c>
      <c r="K238" s="147">
        <v>0</v>
      </c>
      <c r="L238" s="147">
        <f t="shared" si="10"/>
        <v>328</v>
      </c>
      <c r="M238" s="147" t="s">
        <v>476</v>
      </c>
      <c r="N238" s="147" t="s">
        <v>118</v>
      </c>
      <c r="O238" s="147" t="s">
        <v>478</v>
      </c>
    </row>
    <row r="239" spans="1:15" s="84" customFormat="1" ht="155.25" customHeight="1" x14ac:dyDescent="0.3">
      <c r="A239" s="185">
        <v>238</v>
      </c>
      <c r="B239" s="87" t="s">
        <v>60</v>
      </c>
      <c r="C239" s="147" t="s">
        <v>488</v>
      </c>
      <c r="D239" s="147" t="s">
        <v>194</v>
      </c>
      <c r="E239" s="147" t="s">
        <v>18</v>
      </c>
      <c r="F239" s="89">
        <v>45216</v>
      </c>
      <c r="G239" s="147" t="s">
        <v>19</v>
      </c>
      <c r="H239" s="147">
        <v>3</v>
      </c>
      <c r="I239" s="147">
        <v>20</v>
      </c>
      <c r="J239" s="147">
        <v>37</v>
      </c>
      <c r="K239" s="147">
        <v>5</v>
      </c>
      <c r="L239" s="147">
        <f t="shared" si="10"/>
        <v>65</v>
      </c>
      <c r="M239" s="147" t="s">
        <v>406</v>
      </c>
      <c r="N239" s="147" t="s">
        <v>118</v>
      </c>
      <c r="O239" s="147" t="s">
        <v>489</v>
      </c>
    </row>
    <row r="240" spans="1:15" s="78" customFormat="1" ht="61.5" customHeight="1" x14ac:dyDescent="0.3">
      <c r="A240" s="185">
        <v>239</v>
      </c>
      <c r="B240" s="147" t="s">
        <v>394</v>
      </c>
      <c r="C240" s="147" t="s">
        <v>477</v>
      </c>
      <c r="D240" s="147" t="s">
        <v>194</v>
      </c>
      <c r="E240" s="147" t="s">
        <v>18</v>
      </c>
      <c r="F240" s="145">
        <v>45217</v>
      </c>
      <c r="G240" s="147" t="s">
        <v>395</v>
      </c>
      <c r="H240" s="147">
        <v>3</v>
      </c>
      <c r="I240" s="147">
        <v>18</v>
      </c>
      <c r="J240" s="147">
        <v>103</v>
      </c>
      <c r="K240" s="147">
        <v>5</v>
      </c>
      <c r="L240" s="147">
        <f t="shared" si="10"/>
        <v>129</v>
      </c>
      <c r="M240" s="147" t="s">
        <v>29</v>
      </c>
      <c r="N240" s="147" t="s">
        <v>118</v>
      </c>
      <c r="O240" s="147" t="s">
        <v>479</v>
      </c>
    </row>
    <row r="241" spans="1:15" ht="60" x14ac:dyDescent="0.3">
      <c r="A241" s="185">
        <v>240</v>
      </c>
      <c r="B241" s="147" t="s">
        <v>36</v>
      </c>
      <c r="C241" s="147" t="s">
        <v>475</v>
      </c>
      <c r="D241" s="147" t="s">
        <v>194</v>
      </c>
      <c r="E241" s="147" t="s">
        <v>18</v>
      </c>
      <c r="F241" s="145">
        <v>45218</v>
      </c>
      <c r="G241" s="147" t="s">
        <v>19</v>
      </c>
      <c r="H241" s="147">
        <v>2</v>
      </c>
      <c r="I241" s="147">
        <v>4</v>
      </c>
      <c r="J241" s="147">
        <v>15</v>
      </c>
      <c r="K241" s="147">
        <v>33</v>
      </c>
      <c r="L241" s="147">
        <f>SUBTOTAL(9,H241:K241)</f>
        <v>54</v>
      </c>
      <c r="M241" s="147" t="s">
        <v>31</v>
      </c>
      <c r="N241" s="147" t="s">
        <v>118</v>
      </c>
      <c r="O241" s="147" t="s">
        <v>480</v>
      </c>
    </row>
    <row r="242" spans="1:15" s="136" customFormat="1" ht="36" x14ac:dyDescent="0.3">
      <c r="A242" s="185">
        <v>241</v>
      </c>
      <c r="B242" s="140" t="s">
        <v>15</v>
      </c>
      <c r="C242" s="140" t="s">
        <v>497</v>
      </c>
      <c r="D242" s="140" t="s">
        <v>194</v>
      </c>
      <c r="E242" s="140" t="s">
        <v>18</v>
      </c>
      <c r="F242" s="134">
        <v>45219</v>
      </c>
      <c r="G242" s="140" t="s">
        <v>19</v>
      </c>
      <c r="H242" s="24">
        <v>0</v>
      </c>
      <c r="I242" s="24">
        <v>15</v>
      </c>
      <c r="J242" s="140">
        <v>55</v>
      </c>
      <c r="K242" s="140">
        <v>0</v>
      </c>
      <c r="L242" s="140">
        <f>SUM(H242:K242)</f>
        <v>70</v>
      </c>
      <c r="M242" s="140" t="s">
        <v>353</v>
      </c>
      <c r="N242" s="140" t="s">
        <v>118</v>
      </c>
      <c r="O242" s="140" t="s">
        <v>815</v>
      </c>
    </row>
    <row r="243" spans="1:15" s="136" customFormat="1" ht="48" x14ac:dyDescent="0.3">
      <c r="A243" s="185">
        <v>242</v>
      </c>
      <c r="B243" s="140" t="s">
        <v>17</v>
      </c>
      <c r="C243" s="140" t="s">
        <v>617</v>
      </c>
      <c r="D243" s="140" t="s">
        <v>194</v>
      </c>
      <c r="E243" s="140" t="s">
        <v>18</v>
      </c>
      <c r="F243" s="134">
        <v>45221</v>
      </c>
      <c r="G243" s="140" t="s">
        <v>618</v>
      </c>
      <c r="H243" s="24">
        <v>1</v>
      </c>
      <c r="I243" s="24">
        <v>0</v>
      </c>
      <c r="J243" s="140">
        <v>19</v>
      </c>
      <c r="K243" s="140">
        <v>0</v>
      </c>
      <c r="L243" s="140">
        <f>SUM(H243:K243)</f>
        <v>20</v>
      </c>
      <c r="M243" s="147" t="s">
        <v>698</v>
      </c>
      <c r="N243" s="140" t="s">
        <v>118</v>
      </c>
      <c r="O243" s="147" t="s">
        <v>619</v>
      </c>
    </row>
    <row r="244" spans="1:15" s="88" customFormat="1" ht="87" customHeight="1" x14ac:dyDescent="0.3">
      <c r="A244" s="185">
        <v>243</v>
      </c>
      <c r="B244" s="147" t="s">
        <v>15</v>
      </c>
      <c r="C244" s="147" t="s">
        <v>495</v>
      </c>
      <c r="D244" s="147" t="s">
        <v>194</v>
      </c>
      <c r="E244" s="147" t="s">
        <v>18</v>
      </c>
      <c r="F244" s="145">
        <v>45222</v>
      </c>
      <c r="G244" s="147" t="s">
        <v>19</v>
      </c>
      <c r="H244" s="143">
        <v>0</v>
      </c>
      <c r="I244" s="162">
        <v>13</v>
      </c>
      <c r="J244" s="34">
        <v>33</v>
      </c>
      <c r="K244" s="34">
        <v>0</v>
      </c>
      <c r="L244" s="34">
        <f>SUBTOTAL(9,H244:K244)</f>
        <v>46</v>
      </c>
      <c r="M244" s="147" t="s">
        <v>133</v>
      </c>
      <c r="N244" s="147" t="s">
        <v>118</v>
      </c>
      <c r="O244" s="147" t="s">
        <v>496</v>
      </c>
    </row>
    <row r="245" spans="1:15" s="104" customFormat="1" ht="106.5" customHeight="1" x14ac:dyDescent="0.3">
      <c r="A245" s="185">
        <v>244</v>
      </c>
      <c r="B245" s="147" t="s">
        <v>93</v>
      </c>
      <c r="C245" s="147" t="s">
        <v>559</v>
      </c>
      <c r="D245" s="147" t="s">
        <v>194</v>
      </c>
      <c r="E245" s="147" t="s">
        <v>18</v>
      </c>
      <c r="F245" s="145" t="s">
        <v>560</v>
      </c>
      <c r="G245" s="147" t="s">
        <v>167</v>
      </c>
      <c r="H245" s="143">
        <v>0</v>
      </c>
      <c r="I245" s="162">
        <v>10</v>
      </c>
      <c r="J245" s="34">
        <v>100</v>
      </c>
      <c r="K245" s="34">
        <v>5</v>
      </c>
      <c r="L245" s="34">
        <f t="shared" ref="L245:L251" si="11">SUM(H245:K245)</f>
        <v>115</v>
      </c>
      <c r="M245" s="147" t="s">
        <v>29</v>
      </c>
      <c r="N245" s="147" t="s">
        <v>118</v>
      </c>
      <c r="O245" s="147" t="s">
        <v>561</v>
      </c>
    </row>
    <row r="246" spans="1:15" ht="95.25" customHeight="1" x14ac:dyDescent="0.3">
      <c r="A246" s="185">
        <v>245</v>
      </c>
      <c r="B246" s="147" t="s">
        <v>36</v>
      </c>
      <c r="C246" s="147" t="s">
        <v>493</v>
      </c>
      <c r="D246" s="147" t="s">
        <v>194</v>
      </c>
      <c r="E246" s="147" t="s">
        <v>18</v>
      </c>
      <c r="F246" s="89">
        <v>45224</v>
      </c>
      <c r="G246" s="147" t="s">
        <v>19</v>
      </c>
      <c r="H246" s="147">
        <v>1</v>
      </c>
      <c r="I246" s="147">
        <v>0</v>
      </c>
      <c r="J246" s="147">
        <v>54</v>
      </c>
      <c r="K246" s="147">
        <v>8</v>
      </c>
      <c r="L246" s="147">
        <f t="shared" si="11"/>
        <v>63</v>
      </c>
      <c r="M246" s="147" t="s">
        <v>406</v>
      </c>
      <c r="N246" s="147" t="s">
        <v>118</v>
      </c>
      <c r="O246" s="147" t="s">
        <v>494</v>
      </c>
    </row>
    <row r="247" spans="1:15" s="90" customFormat="1" ht="131.25" customHeight="1" x14ac:dyDescent="0.3">
      <c r="A247" s="185">
        <v>246</v>
      </c>
      <c r="B247" s="147" t="s">
        <v>17</v>
      </c>
      <c r="C247" s="146" t="s">
        <v>751</v>
      </c>
      <c r="D247" s="146" t="s">
        <v>173</v>
      </c>
      <c r="E247" s="147" t="s">
        <v>18</v>
      </c>
      <c r="F247" s="154" t="s">
        <v>881</v>
      </c>
      <c r="G247" s="146" t="s">
        <v>648</v>
      </c>
      <c r="H247" s="155">
        <v>0</v>
      </c>
      <c r="I247" s="180">
        <v>6</v>
      </c>
      <c r="J247" s="181">
        <v>14</v>
      </c>
      <c r="K247" s="181">
        <v>0</v>
      </c>
      <c r="L247" s="181">
        <f t="shared" si="11"/>
        <v>20</v>
      </c>
      <c r="M247" s="147" t="s">
        <v>366</v>
      </c>
      <c r="N247" s="146" t="s">
        <v>342</v>
      </c>
      <c r="O247" s="146" t="s">
        <v>752</v>
      </c>
    </row>
    <row r="248" spans="1:15" s="90" customFormat="1" ht="86.25" customHeight="1" x14ac:dyDescent="0.3">
      <c r="A248" s="185">
        <v>247</v>
      </c>
      <c r="B248" s="140" t="s">
        <v>38</v>
      </c>
      <c r="C248" s="140" t="s">
        <v>504</v>
      </c>
      <c r="D248" s="140" t="s">
        <v>162</v>
      </c>
      <c r="E248" s="140" t="s">
        <v>18</v>
      </c>
      <c r="F248" s="134">
        <v>45225</v>
      </c>
      <c r="G248" s="140" t="s">
        <v>19</v>
      </c>
      <c r="H248" s="140">
        <v>15</v>
      </c>
      <c r="I248" s="140">
        <v>56</v>
      </c>
      <c r="J248" s="140">
        <v>40</v>
      </c>
      <c r="K248" s="140">
        <v>0</v>
      </c>
      <c r="L248" s="140">
        <f t="shared" si="11"/>
        <v>111</v>
      </c>
      <c r="M248" s="140" t="s">
        <v>28</v>
      </c>
      <c r="N248" s="140" t="s">
        <v>342</v>
      </c>
      <c r="O248" s="140" t="s">
        <v>505</v>
      </c>
    </row>
    <row r="249" spans="1:15" s="100" customFormat="1" ht="115.5" customHeight="1" x14ac:dyDescent="0.3">
      <c r="A249" s="185">
        <v>248</v>
      </c>
      <c r="B249" s="140" t="s">
        <v>25</v>
      </c>
      <c r="C249" s="140" t="s">
        <v>552</v>
      </c>
      <c r="D249" s="140" t="s">
        <v>194</v>
      </c>
      <c r="E249" s="140" t="s">
        <v>18</v>
      </c>
      <c r="F249" s="134">
        <v>45226</v>
      </c>
      <c r="G249" s="140" t="s">
        <v>19</v>
      </c>
      <c r="H249" s="140">
        <v>0</v>
      </c>
      <c r="I249" s="140">
        <v>2</v>
      </c>
      <c r="J249" s="140">
        <v>14</v>
      </c>
      <c r="K249" s="140">
        <v>4</v>
      </c>
      <c r="L249" s="140">
        <f t="shared" si="11"/>
        <v>20</v>
      </c>
      <c r="M249" s="140" t="s">
        <v>31</v>
      </c>
      <c r="N249" s="140" t="s">
        <v>118</v>
      </c>
      <c r="O249" s="140" t="s">
        <v>758</v>
      </c>
    </row>
    <row r="250" spans="1:15" ht="72" x14ac:dyDescent="0.3">
      <c r="A250" s="185">
        <v>249</v>
      </c>
      <c r="B250" s="147" t="s">
        <v>15</v>
      </c>
      <c r="C250" s="147" t="s">
        <v>501</v>
      </c>
      <c r="D250" s="140" t="s">
        <v>194</v>
      </c>
      <c r="E250" s="147" t="s">
        <v>18</v>
      </c>
      <c r="F250" s="89">
        <v>45226</v>
      </c>
      <c r="G250" s="147" t="s">
        <v>502</v>
      </c>
      <c r="H250" s="147">
        <v>0</v>
      </c>
      <c r="I250" s="147">
        <v>9</v>
      </c>
      <c r="J250" s="147">
        <v>35</v>
      </c>
      <c r="K250" s="147">
        <v>0</v>
      </c>
      <c r="L250" s="147">
        <f t="shared" si="11"/>
        <v>44</v>
      </c>
      <c r="M250" s="147" t="s">
        <v>52</v>
      </c>
      <c r="N250" s="140" t="s">
        <v>118</v>
      </c>
      <c r="O250" s="147" t="s">
        <v>503</v>
      </c>
    </row>
    <row r="251" spans="1:15" s="144" customFormat="1" ht="143.25" customHeight="1" x14ac:dyDescent="0.3">
      <c r="A251" s="185">
        <v>250</v>
      </c>
      <c r="B251" s="147" t="s">
        <v>25</v>
      </c>
      <c r="C251" s="147" t="s">
        <v>760</v>
      </c>
      <c r="D251" s="140" t="s">
        <v>194</v>
      </c>
      <c r="E251" s="147" t="s">
        <v>18</v>
      </c>
      <c r="F251" s="145" t="s">
        <v>749</v>
      </c>
      <c r="G251" s="147" t="s">
        <v>167</v>
      </c>
      <c r="H251" s="147">
        <v>0</v>
      </c>
      <c r="I251" s="147">
        <v>13</v>
      </c>
      <c r="J251" s="147">
        <v>47</v>
      </c>
      <c r="K251" s="147">
        <v>0</v>
      </c>
      <c r="L251" s="147">
        <f t="shared" si="11"/>
        <v>60</v>
      </c>
      <c r="M251" s="147" t="s">
        <v>750</v>
      </c>
      <c r="N251" s="140" t="s">
        <v>118</v>
      </c>
      <c r="O251" s="147" t="s">
        <v>759</v>
      </c>
    </row>
    <row r="252" spans="1:15" s="106" customFormat="1" ht="48" x14ac:dyDescent="0.3">
      <c r="A252" s="185">
        <v>251</v>
      </c>
      <c r="B252" s="147" t="s">
        <v>394</v>
      </c>
      <c r="C252" s="147" t="s">
        <v>566</v>
      </c>
      <c r="D252" s="140" t="s">
        <v>194</v>
      </c>
      <c r="E252" s="147" t="s">
        <v>18</v>
      </c>
      <c r="F252" s="145">
        <v>45229</v>
      </c>
      <c r="G252" s="147" t="s">
        <v>423</v>
      </c>
      <c r="H252" s="147">
        <v>0</v>
      </c>
      <c r="I252" s="147">
        <v>9</v>
      </c>
      <c r="J252" s="147">
        <v>34</v>
      </c>
      <c r="K252" s="147">
        <v>0</v>
      </c>
      <c r="L252" s="147">
        <f>SUM(H252:K252)</f>
        <v>43</v>
      </c>
      <c r="M252" s="147" t="s">
        <v>732</v>
      </c>
      <c r="N252" s="140" t="s">
        <v>118</v>
      </c>
      <c r="O252" s="147" t="s">
        <v>757</v>
      </c>
    </row>
    <row r="253" spans="1:15" s="144" customFormat="1" ht="83.25" customHeight="1" x14ac:dyDescent="0.3">
      <c r="A253" s="185">
        <v>252</v>
      </c>
      <c r="B253" s="147" t="s">
        <v>17</v>
      </c>
      <c r="C253" s="147" t="s">
        <v>644</v>
      </c>
      <c r="D253" s="140" t="s">
        <v>194</v>
      </c>
      <c r="E253" s="147" t="s">
        <v>18</v>
      </c>
      <c r="F253" s="145" t="s">
        <v>646</v>
      </c>
      <c r="G253" s="147" t="s">
        <v>645</v>
      </c>
      <c r="H253" s="147">
        <v>0</v>
      </c>
      <c r="I253" s="147">
        <v>95</v>
      </c>
      <c r="J253" s="147">
        <v>305</v>
      </c>
      <c r="K253" s="147">
        <v>10</v>
      </c>
      <c r="L253" s="147">
        <f>SUM(H253:K253)</f>
        <v>410</v>
      </c>
      <c r="M253" s="147" t="s">
        <v>366</v>
      </c>
      <c r="N253" s="140" t="s">
        <v>118</v>
      </c>
      <c r="O253" s="147" t="s">
        <v>647</v>
      </c>
    </row>
    <row r="254" spans="1:15" s="103" customFormat="1" ht="65.25" customHeight="1" x14ac:dyDescent="0.3">
      <c r="A254" s="185">
        <v>253</v>
      </c>
      <c r="B254" s="147" t="s">
        <v>394</v>
      </c>
      <c r="C254" s="147" t="s">
        <v>756</v>
      </c>
      <c r="D254" s="140" t="s">
        <v>194</v>
      </c>
      <c r="E254" s="147" t="s">
        <v>18</v>
      </c>
      <c r="F254" s="145">
        <v>45230</v>
      </c>
      <c r="G254" s="147" t="s">
        <v>395</v>
      </c>
      <c r="H254" s="147">
        <v>0</v>
      </c>
      <c r="I254" s="147">
        <v>0</v>
      </c>
      <c r="J254" s="147">
        <v>31</v>
      </c>
      <c r="K254" s="147">
        <v>0</v>
      </c>
      <c r="L254" s="147">
        <f t="shared" ref="L254:L290" si="12">SUM(H254:K254)</f>
        <v>31</v>
      </c>
      <c r="M254" s="147" t="s">
        <v>562</v>
      </c>
      <c r="N254" s="147" t="s">
        <v>118</v>
      </c>
      <c r="O254" s="147" t="s">
        <v>762</v>
      </c>
    </row>
    <row r="255" spans="1:15" s="105" customFormat="1" ht="60" x14ac:dyDescent="0.3">
      <c r="A255" s="185">
        <v>254</v>
      </c>
      <c r="B255" s="147" t="s">
        <v>394</v>
      </c>
      <c r="C255" s="147" t="s">
        <v>761</v>
      </c>
      <c r="D255" s="140" t="s">
        <v>194</v>
      </c>
      <c r="E255" s="147" t="s">
        <v>18</v>
      </c>
      <c r="F255" s="145">
        <v>45231</v>
      </c>
      <c r="G255" s="147" t="s">
        <v>395</v>
      </c>
      <c r="H255" s="147">
        <v>0</v>
      </c>
      <c r="I255" s="147">
        <v>0</v>
      </c>
      <c r="J255" s="147">
        <v>42</v>
      </c>
      <c r="K255" s="147">
        <v>0</v>
      </c>
      <c r="L255" s="147">
        <f t="shared" si="12"/>
        <v>42</v>
      </c>
      <c r="M255" s="147" t="s">
        <v>565</v>
      </c>
      <c r="N255" s="147" t="s">
        <v>118</v>
      </c>
      <c r="O255" s="147" t="s">
        <v>763</v>
      </c>
    </row>
    <row r="256" spans="1:15" s="142" customFormat="1" ht="60" x14ac:dyDescent="0.3">
      <c r="A256" s="185">
        <v>255</v>
      </c>
      <c r="B256" s="147" t="s">
        <v>17</v>
      </c>
      <c r="C256" s="147" t="s">
        <v>764</v>
      </c>
      <c r="D256" s="140" t="s">
        <v>194</v>
      </c>
      <c r="E256" s="147" t="s">
        <v>18</v>
      </c>
      <c r="F256" s="145" t="s">
        <v>641</v>
      </c>
      <c r="G256" s="147" t="s">
        <v>642</v>
      </c>
      <c r="H256" s="143">
        <v>0</v>
      </c>
      <c r="I256" s="162">
        <v>2</v>
      </c>
      <c r="J256" s="34">
        <v>19</v>
      </c>
      <c r="K256" s="34">
        <v>0</v>
      </c>
      <c r="L256" s="147">
        <f t="shared" si="12"/>
        <v>21</v>
      </c>
      <c r="M256" s="147" t="s">
        <v>366</v>
      </c>
      <c r="N256" s="147" t="s">
        <v>342</v>
      </c>
      <c r="O256" s="147" t="s">
        <v>643</v>
      </c>
    </row>
    <row r="257" spans="1:15" s="116" customFormat="1" ht="60" x14ac:dyDescent="0.3">
      <c r="A257" s="185">
        <v>256</v>
      </c>
      <c r="B257" s="147" t="s">
        <v>17</v>
      </c>
      <c r="C257" s="147" t="s">
        <v>513</v>
      </c>
      <c r="D257" s="147" t="s">
        <v>162</v>
      </c>
      <c r="E257" s="147" t="s">
        <v>18</v>
      </c>
      <c r="F257" s="145" t="s">
        <v>882</v>
      </c>
      <c r="G257" s="147" t="s">
        <v>19</v>
      </c>
      <c r="H257" s="147">
        <v>0</v>
      </c>
      <c r="I257" s="147">
        <v>49</v>
      </c>
      <c r="J257" s="147">
        <v>78</v>
      </c>
      <c r="K257" s="147">
        <v>6</v>
      </c>
      <c r="L257" s="147">
        <f t="shared" si="12"/>
        <v>133</v>
      </c>
      <c r="M257" s="147" t="s">
        <v>86</v>
      </c>
      <c r="N257" s="147" t="s">
        <v>118</v>
      </c>
      <c r="O257" s="147" t="s">
        <v>888</v>
      </c>
    </row>
    <row r="258" spans="1:15" s="135" customFormat="1" ht="36" x14ac:dyDescent="0.3">
      <c r="A258" s="185">
        <v>257</v>
      </c>
      <c r="B258" s="147" t="s">
        <v>17</v>
      </c>
      <c r="C258" s="147" t="s">
        <v>620</v>
      </c>
      <c r="D258" s="147" t="s">
        <v>194</v>
      </c>
      <c r="E258" s="147" t="s">
        <v>18</v>
      </c>
      <c r="F258" s="145">
        <v>45235</v>
      </c>
      <c r="G258" s="147" t="s">
        <v>621</v>
      </c>
      <c r="H258" s="147">
        <v>1</v>
      </c>
      <c r="I258" s="147">
        <v>0</v>
      </c>
      <c r="J258" s="147">
        <v>22</v>
      </c>
      <c r="K258" s="147">
        <v>0</v>
      </c>
      <c r="L258" s="147">
        <f t="shared" si="12"/>
        <v>23</v>
      </c>
      <c r="M258" s="147" t="s">
        <v>698</v>
      </c>
      <c r="N258" s="147" t="s">
        <v>118</v>
      </c>
      <c r="O258" s="147" t="s">
        <v>628</v>
      </c>
    </row>
    <row r="259" spans="1:15" s="116" customFormat="1" ht="60" x14ac:dyDescent="0.3">
      <c r="A259" s="185">
        <v>258</v>
      </c>
      <c r="B259" s="147" t="s">
        <v>17</v>
      </c>
      <c r="C259" s="147" t="s">
        <v>512</v>
      </c>
      <c r="D259" s="147" t="s">
        <v>162</v>
      </c>
      <c r="E259" s="147" t="s">
        <v>18</v>
      </c>
      <c r="F259" s="145">
        <v>45237</v>
      </c>
      <c r="G259" s="147" t="s">
        <v>19</v>
      </c>
      <c r="H259" s="147">
        <v>0</v>
      </c>
      <c r="I259" s="147">
        <v>25</v>
      </c>
      <c r="J259" s="147">
        <v>53</v>
      </c>
      <c r="K259" s="147">
        <v>12</v>
      </c>
      <c r="L259" s="147">
        <f t="shared" si="12"/>
        <v>90</v>
      </c>
      <c r="M259" s="147" t="s">
        <v>86</v>
      </c>
      <c r="N259" s="147" t="s">
        <v>118</v>
      </c>
      <c r="O259" s="147" t="s">
        <v>889</v>
      </c>
    </row>
    <row r="260" spans="1:15" s="116" customFormat="1" ht="72" x14ac:dyDescent="0.3">
      <c r="A260" s="185">
        <v>259</v>
      </c>
      <c r="B260" s="147" t="s">
        <v>60</v>
      </c>
      <c r="C260" s="147" t="s">
        <v>584</v>
      </c>
      <c r="D260" s="147" t="s">
        <v>194</v>
      </c>
      <c r="E260" s="147" t="s">
        <v>18</v>
      </c>
      <c r="F260" s="145">
        <v>45238</v>
      </c>
      <c r="G260" s="147" t="s">
        <v>19</v>
      </c>
      <c r="H260" s="147">
        <v>1</v>
      </c>
      <c r="I260" s="147">
        <v>0</v>
      </c>
      <c r="J260" s="147">
        <v>45</v>
      </c>
      <c r="K260" s="147">
        <v>0</v>
      </c>
      <c r="L260" s="147">
        <f t="shared" si="12"/>
        <v>46</v>
      </c>
      <c r="M260" s="147" t="s">
        <v>406</v>
      </c>
      <c r="N260" s="147" t="s">
        <v>118</v>
      </c>
      <c r="O260" s="147" t="s">
        <v>583</v>
      </c>
    </row>
    <row r="261" spans="1:15" s="116" customFormat="1" ht="60" x14ac:dyDescent="0.3">
      <c r="A261" s="185">
        <v>260</v>
      </c>
      <c r="B261" s="147" t="s">
        <v>17</v>
      </c>
      <c r="C261" s="147" t="s">
        <v>514</v>
      </c>
      <c r="D261" s="147" t="s">
        <v>162</v>
      </c>
      <c r="E261" s="147" t="s">
        <v>18</v>
      </c>
      <c r="F261" s="145" t="s">
        <v>883</v>
      </c>
      <c r="G261" s="147" t="s">
        <v>19</v>
      </c>
      <c r="H261" s="147">
        <v>0</v>
      </c>
      <c r="I261" s="147">
        <v>48</v>
      </c>
      <c r="J261" s="147">
        <v>60</v>
      </c>
      <c r="K261" s="147">
        <v>4</v>
      </c>
      <c r="L261" s="147">
        <f t="shared" si="12"/>
        <v>112</v>
      </c>
      <c r="M261" s="147" t="s">
        <v>86</v>
      </c>
      <c r="N261" s="147" t="s">
        <v>118</v>
      </c>
      <c r="O261" s="147" t="s">
        <v>890</v>
      </c>
    </row>
    <row r="262" spans="1:15" ht="180" x14ac:dyDescent="0.3">
      <c r="A262" s="185">
        <v>261</v>
      </c>
      <c r="B262" s="147" t="s">
        <v>93</v>
      </c>
      <c r="C262" s="147" t="s">
        <v>507</v>
      </c>
      <c r="D262" s="147" t="s">
        <v>68</v>
      </c>
      <c r="E262" s="147" t="s">
        <v>18</v>
      </c>
      <c r="F262" s="145">
        <v>45238</v>
      </c>
      <c r="G262" s="140" t="s">
        <v>19</v>
      </c>
      <c r="H262" s="147">
        <v>3</v>
      </c>
      <c r="I262" s="147">
        <v>34</v>
      </c>
      <c r="J262" s="147">
        <v>59</v>
      </c>
      <c r="K262" s="147">
        <v>4</v>
      </c>
      <c r="L262" s="147">
        <f t="shared" si="12"/>
        <v>100</v>
      </c>
      <c r="M262" s="147" t="s">
        <v>28</v>
      </c>
      <c r="N262" s="147" t="s">
        <v>118</v>
      </c>
      <c r="O262" s="147" t="s">
        <v>508</v>
      </c>
    </row>
    <row r="263" spans="1:15" s="107" customFormat="1" ht="60" x14ac:dyDescent="0.3">
      <c r="A263" s="185">
        <v>262</v>
      </c>
      <c r="B263" s="147" t="s">
        <v>394</v>
      </c>
      <c r="C263" s="147" t="s">
        <v>765</v>
      </c>
      <c r="D263" s="147" t="s">
        <v>194</v>
      </c>
      <c r="E263" s="147" t="s">
        <v>18</v>
      </c>
      <c r="F263" s="145">
        <v>45238</v>
      </c>
      <c r="G263" s="147" t="s">
        <v>395</v>
      </c>
      <c r="H263" s="147">
        <v>6</v>
      </c>
      <c r="I263" s="147">
        <v>31</v>
      </c>
      <c r="J263" s="147">
        <v>113</v>
      </c>
      <c r="K263" s="147">
        <v>0</v>
      </c>
      <c r="L263" s="147">
        <f t="shared" si="12"/>
        <v>150</v>
      </c>
      <c r="M263" s="147" t="s">
        <v>563</v>
      </c>
      <c r="N263" s="147" t="s">
        <v>118</v>
      </c>
      <c r="O263" s="147" t="s">
        <v>766</v>
      </c>
    </row>
    <row r="264" spans="1:15" ht="48" x14ac:dyDescent="0.3">
      <c r="A264" s="185">
        <v>263</v>
      </c>
      <c r="B264" s="147" t="s">
        <v>93</v>
      </c>
      <c r="C264" s="147" t="s">
        <v>507</v>
      </c>
      <c r="D264" s="147" t="s">
        <v>68</v>
      </c>
      <c r="E264" s="147" t="s">
        <v>18</v>
      </c>
      <c r="F264" s="145">
        <v>45239</v>
      </c>
      <c r="G264" s="140" t="s">
        <v>19</v>
      </c>
      <c r="H264" s="147">
        <v>3</v>
      </c>
      <c r="I264" s="147">
        <v>27</v>
      </c>
      <c r="J264" s="147">
        <v>67</v>
      </c>
      <c r="K264" s="147">
        <v>3</v>
      </c>
      <c r="L264" s="147">
        <f t="shared" si="12"/>
        <v>100</v>
      </c>
      <c r="M264" s="147" t="s">
        <v>28</v>
      </c>
      <c r="N264" s="147" t="s">
        <v>118</v>
      </c>
      <c r="O264" s="147" t="s">
        <v>509</v>
      </c>
    </row>
    <row r="265" spans="1:15" ht="61.5" customHeight="1" x14ac:dyDescent="0.3">
      <c r="A265" s="185">
        <v>264</v>
      </c>
      <c r="B265" s="147" t="s">
        <v>394</v>
      </c>
      <c r="C265" s="147" t="s">
        <v>767</v>
      </c>
      <c r="D265" s="147" t="s">
        <v>194</v>
      </c>
      <c r="E265" s="147" t="s">
        <v>18</v>
      </c>
      <c r="F265" s="145">
        <v>45239</v>
      </c>
      <c r="G265" s="147" t="s">
        <v>395</v>
      </c>
      <c r="H265" s="147">
        <v>0</v>
      </c>
      <c r="I265" s="147">
        <v>9</v>
      </c>
      <c r="J265" s="147">
        <v>122</v>
      </c>
      <c r="K265" s="147">
        <v>0</v>
      </c>
      <c r="L265" s="147">
        <f t="shared" si="12"/>
        <v>131</v>
      </c>
      <c r="M265" s="147" t="s">
        <v>564</v>
      </c>
      <c r="N265" s="147" t="s">
        <v>118</v>
      </c>
      <c r="O265" s="147" t="s">
        <v>768</v>
      </c>
    </row>
    <row r="266" spans="1:15" ht="63.75" customHeight="1" x14ac:dyDescent="0.3">
      <c r="A266" s="185">
        <v>265</v>
      </c>
      <c r="B266" s="147" t="s">
        <v>25</v>
      </c>
      <c r="C266" s="147" t="s">
        <v>533</v>
      </c>
      <c r="D266" s="147" t="s">
        <v>193</v>
      </c>
      <c r="E266" s="147" t="s">
        <v>18</v>
      </c>
      <c r="F266" s="145">
        <v>45239</v>
      </c>
      <c r="G266" s="147" t="s">
        <v>19</v>
      </c>
      <c r="H266" s="147">
        <v>0</v>
      </c>
      <c r="I266" s="147">
        <v>300</v>
      </c>
      <c r="J266" s="147">
        <v>0</v>
      </c>
      <c r="K266" s="147">
        <v>0</v>
      </c>
      <c r="L266" s="147">
        <f t="shared" si="12"/>
        <v>300</v>
      </c>
      <c r="M266" s="147" t="s">
        <v>28</v>
      </c>
      <c r="N266" s="140" t="s">
        <v>342</v>
      </c>
      <c r="O266" s="147" t="s">
        <v>510</v>
      </c>
    </row>
    <row r="267" spans="1:15" s="144" customFormat="1" ht="135.75" customHeight="1" x14ac:dyDescent="0.3">
      <c r="A267" s="185">
        <v>266</v>
      </c>
      <c r="B267" s="147" t="s">
        <v>25</v>
      </c>
      <c r="C267" s="147" t="s">
        <v>778</v>
      </c>
      <c r="D267" s="147" t="s">
        <v>193</v>
      </c>
      <c r="E267" s="147" t="s">
        <v>18</v>
      </c>
      <c r="F267" s="145" t="s">
        <v>779</v>
      </c>
      <c r="G267" s="147" t="s">
        <v>167</v>
      </c>
      <c r="H267" s="147">
        <v>150</v>
      </c>
      <c r="I267" s="147">
        <v>0</v>
      </c>
      <c r="J267" s="147">
        <v>18</v>
      </c>
      <c r="K267" s="147">
        <v>0</v>
      </c>
      <c r="L267" s="147">
        <f t="shared" si="12"/>
        <v>168</v>
      </c>
      <c r="M267" s="147" t="s">
        <v>28</v>
      </c>
      <c r="N267" s="147" t="s">
        <v>118</v>
      </c>
      <c r="O267" s="147" t="s">
        <v>780</v>
      </c>
    </row>
    <row r="268" spans="1:15" s="118" customFormat="1" ht="83.25" customHeight="1" x14ac:dyDescent="0.3">
      <c r="A268" s="185">
        <v>267</v>
      </c>
      <c r="B268" s="147" t="s">
        <v>15</v>
      </c>
      <c r="C268" s="147" t="s">
        <v>590</v>
      </c>
      <c r="D268" s="147" t="s">
        <v>194</v>
      </c>
      <c r="E268" s="147" t="s">
        <v>18</v>
      </c>
      <c r="F268" s="145">
        <v>45240</v>
      </c>
      <c r="G268" s="147" t="s">
        <v>19</v>
      </c>
      <c r="H268" s="147">
        <v>0</v>
      </c>
      <c r="I268" s="147">
        <v>3</v>
      </c>
      <c r="J268" s="147">
        <v>23</v>
      </c>
      <c r="K268" s="147">
        <v>0</v>
      </c>
      <c r="L268" s="147">
        <f t="shared" si="12"/>
        <v>26</v>
      </c>
      <c r="M268" s="147" t="s">
        <v>133</v>
      </c>
      <c r="N268" s="147" t="s">
        <v>118</v>
      </c>
      <c r="O268" s="147" t="s">
        <v>591</v>
      </c>
    </row>
    <row r="269" spans="1:15" s="101" customFormat="1" ht="63.75" customHeight="1" x14ac:dyDescent="0.3">
      <c r="A269" s="185">
        <v>268</v>
      </c>
      <c r="B269" s="147" t="s">
        <v>25</v>
      </c>
      <c r="C269" s="147" t="s">
        <v>552</v>
      </c>
      <c r="D269" s="147" t="s">
        <v>194</v>
      </c>
      <c r="E269" s="147" t="s">
        <v>18</v>
      </c>
      <c r="F269" s="145">
        <v>45240</v>
      </c>
      <c r="G269" s="147" t="s">
        <v>19</v>
      </c>
      <c r="H269" s="147">
        <v>0</v>
      </c>
      <c r="I269" s="147">
        <v>1</v>
      </c>
      <c r="J269" s="147">
        <v>17</v>
      </c>
      <c r="K269" s="147">
        <v>3</v>
      </c>
      <c r="L269" s="147">
        <f t="shared" si="12"/>
        <v>21</v>
      </c>
      <c r="M269" s="147" t="s">
        <v>31</v>
      </c>
      <c r="N269" s="140" t="s">
        <v>118</v>
      </c>
      <c r="O269" s="147" t="s">
        <v>769</v>
      </c>
    </row>
    <row r="270" spans="1:15" ht="83.25" customHeight="1" x14ac:dyDescent="0.3">
      <c r="A270" s="185">
        <v>269</v>
      </c>
      <c r="B270" s="147" t="s">
        <v>38</v>
      </c>
      <c r="C270" s="147" t="s">
        <v>517</v>
      </c>
      <c r="D270" s="147" t="s">
        <v>194</v>
      </c>
      <c r="E270" s="147" t="s">
        <v>18</v>
      </c>
      <c r="F270" s="145">
        <v>45240</v>
      </c>
      <c r="G270" s="147" t="s">
        <v>19</v>
      </c>
      <c r="H270" s="147">
        <v>20</v>
      </c>
      <c r="I270" s="147">
        <v>70</v>
      </c>
      <c r="J270" s="147">
        <v>100</v>
      </c>
      <c r="K270" s="147">
        <v>30</v>
      </c>
      <c r="L270" s="147">
        <f t="shared" si="12"/>
        <v>220</v>
      </c>
      <c r="M270" s="147" t="s">
        <v>406</v>
      </c>
      <c r="N270" s="140" t="s">
        <v>342</v>
      </c>
      <c r="O270" s="147" t="s">
        <v>511</v>
      </c>
    </row>
    <row r="271" spans="1:15" s="110" customFormat="1" ht="85.5" customHeight="1" x14ac:dyDescent="0.3">
      <c r="A271" s="185">
        <v>270</v>
      </c>
      <c r="B271" s="147" t="s">
        <v>38</v>
      </c>
      <c r="C271" s="147" t="s">
        <v>770</v>
      </c>
      <c r="D271" s="147" t="s">
        <v>194</v>
      </c>
      <c r="E271" s="147" t="s">
        <v>18</v>
      </c>
      <c r="F271" s="145">
        <v>45240</v>
      </c>
      <c r="G271" s="147" t="s">
        <v>19</v>
      </c>
      <c r="H271" s="147">
        <v>2</v>
      </c>
      <c r="I271" s="147">
        <v>38</v>
      </c>
      <c r="J271" s="147">
        <v>0</v>
      </c>
      <c r="K271" s="147">
        <v>0</v>
      </c>
      <c r="L271" s="147">
        <f t="shared" si="12"/>
        <v>40</v>
      </c>
      <c r="M271" s="147" t="s">
        <v>406</v>
      </c>
      <c r="N271" s="147" t="s">
        <v>118</v>
      </c>
      <c r="O271" s="147" t="s">
        <v>575</v>
      </c>
    </row>
    <row r="272" spans="1:15" s="107" customFormat="1" ht="78" customHeight="1" x14ac:dyDescent="0.3">
      <c r="A272" s="185">
        <v>271</v>
      </c>
      <c r="B272" s="147" t="s">
        <v>394</v>
      </c>
      <c r="C272" s="147" t="s">
        <v>772</v>
      </c>
      <c r="D272" s="147" t="s">
        <v>194</v>
      </c>
      <c r="E272" s="147" t="s">
        <v>18</v>
      </c>
      <c r="F272" s="145">
        <v>45243</v>
      </c>
      <c r="G272" s="147" t="s">
        <v>395</v>
      </c>
      <c r="H272" s="147">
        <v>0</v>
      </c>
      <c r="I272" s="147">
        <v>93</v>
      </c>
      <c r="J272" s="147">
        <v>274</v>
      </c>
      <c r="K272" s="147">
        <v>0</v>
      </c>
      <c r="L272" s="147">
        <f t="shared" si="12"/>
        <v>367</v>
      </c>
      <c r="M272" s="147" t="s">
        <v>568</v>
      </c>
      <c r="N272" s="147" t="s">
        <v>118</v>
      </c>
      <c r="O272" s="147" t="s">
        <v>567</v>
      </c>
    </row>
    <row r="273" spans="1:15" s="139" customFormat="1" ht="78" customHeight="1" x14ac:dyDescent="0.3">
      <c r="A273" s="185">
        <v>272</v>
      </c>
      <c r="B273" s="147" t="s">
        <v>222</v>
      </c>
      <c r="C273" s="147" t="s">
        <v>633</v>
      </c>
      <c r="D273" s="147" t="s">
        <v>68</v>
      </c>
      <c r="E273" s="147" t="s">
        <v>18</v>
      </c>
      <c r="F273" s="145" t="s">
        <v>632</v>
      </c>
      <c r="G273" s="147" t="s">
        <v>634</v>
      </c>
      <c r="H273" s="143">
        <v>24</v>
      </c>
      <c r="I273" s="23">
        <v>184</v>
      </c>
      <c r="J273" s="147">
        <v>288</v>
      </c>
      <c r="K273" s="147">
        <v>48</v>
      </c>
      <c r="L273" s="147">
        <f t="shared" si="12"/>
        <v>544</v>
      </c>
      <c r="M273" s="147" t="s">
        <v>635</v>
      </c>
      <c r="N273" s="147" t="s">
        <v>118</v>
      </c>
      <c r="O273" s="147" t="s">
        <v>773</v>
      </c>
    </row>
    <row r="274" spans="1:15" s="108" customFormat="1" ht="63.75" customHeight="1" x14ac:dyDescent="0.3">
      <c r="A274" s="185">
        <v>273</v>
      </c>
      <c r="B274" s="147" t="s">
        <v>394</v>
      </c>
      <c r="C274" s="147" t="s">
        <v>771</v>
      </c>
      <c r="D274" s="92" t="s">
        <v>194</v>
      </c>
      <c r="E274" s="147" t="s">
        <v>18</v>
      </c>
      <c r="F274" s="145">
        <v>45244</v>
      </c>
      <c r="G274" s="147" t="s">
        <v>395</v>
      </c>
      <c r="H274" s="147">
        <v>0</v>
      </c>
      <c r="I274" s="147">
        <v>242</v>
      </c>
      <c r="J274" s="147">
        <v>37</v>
      </c>
      <c r="K274" s="147">
        <v>0</v>
      </c>
      <c r="L274" s="147">
        <f t="shared" si="12"/>
        <v>279</v>
      </c>
      <c r="M274" s="147" t="s">
        <v>569</v>
      </c>
      <c r="N274" s="147" t="s">
        <v>118</v>
      </c>
      <c r="O274" s="147" t="s">
        <v>774</v>
      </c>
    </row>
    <row r="275" spans="1:15" s="112" customFormat="1" ht="83.25" customHeight="1" x14ac:dyDescent="0.3">
      <c r="A275" s="185">
        <v>274</v>
      </c>
      <c r="B275" s="147" t="s">
        <v>60</v>
      </c>
      <c r="C275" s="147" t="s">
        <v>578</v>
      </c>
      <c r="D275" s="92" t="s">
        <v>68</v>
      </c>
      <c r="E275" s="147" t="s">
        <v>18</v>
      </c>
      <c r="F275" s="145">
        <v>45245</v>
      </c>
      <c r="G275" s="147" t="s">
        <v>576</v>
      </c>
      <c r="H275" s="147">
        <v>1</v>
      </c>
      <c r="I275" s="147">
        <v>30</v>
      </c>
      <c r="J275" s="147">
        <v>0</v>
      </c>
      <c r="K275" s="147">
        <v>0</v>
      </c>
      <c r="L275" s="147">
        <f t="shared" si="12"/>
        <v>31</v>
      </c>
      <c r="M275" s="147" t="s">
        <v>406</v>
      </c>
      <c r="N275" s="147" t="s">
        <v>118</v>
      </c>
      <c r="O275" s="147" t="s">
        <v>577</v>
      </c>
    </row>
    <row r="276" spans="1:15" s="113" customFormat="1" ht="102.75" customHeight="1" x14ac:dyDescent="0.3">
      <c r="A276" s="185">
        <v>275</v>
      </c>
      <c r="B276" s="147" t="s">
        <v>60</v>
      </c>
      <c r="C276" s="147" t="s">
        <v>579</v>
      </c>
      <c r="D276" s="92" t="s">
        <v>194</v>
      </c>
      <c r="E276" s="147" t="s">
        <v>18</v>
      </c>
      <c r="F276" s="145">
        <v>45245</v>
      </c>
      <c r="G276" s="147" t="s">
        <v>576</v>
      </c>
      <c r="H276" s="147">
        <v>2</v>
      </c>
      <c r="I276" s="147">
        <v>40</v>
      </c>
      <c r="J276" s="147">
        <v>0</v>
      </c>
      <c r="K276" s="147">
        <v>0</v>
      </c>
      <c r="L276" s="147">
        <f t="shared" si="12"/>
        <v>42</v>
      </c>
      <c r="M276" s="147" t="s">
        <v>406</v>
      </c>
      <c r="N276" s="147" t="s">
        <v>118</v>
      </c>
      <c r="O276" s="147" t="s">
        <v>775</v>
      </c>
    </row>
    <row r="277" spans="1:15" s="91" customFormat="1" ht="53.25" customHeight="1" x14ac:dyDescent="0.3">
      <c r="A277" s="185">
        <v>276</v>
      </c>
      <c r="B277" s="92" t="s">
        <v>25</v>
      </c>
      <c r="C277" s="93" t="s">
        <v>526</v>
      </c>
      <c r="D277" s="92" t="s">
        <v>194</v>
      </c>
      <c r="E277" s="92" t="s">
        <v>18</v>
      </c>
      <c r="F277" s="94">
        <v>45245</v>
      </c>
      <c r="G277" s="93" t="s">
        <v>528</v>
      </c>
      <c r="H277" s="147">
        <v>0</v>
      </c>
      <c r="I277" s="147">
        <v>0</v>
      </c>
      <c r="J277" s="147">
        <v>8</v>
      </c>
      <c r="K277" s="147">
        <v>0</v>
      </c>
      <c r="L277" s="147">
        <f t="shared" si="12"/>
        <v>8</v>
      </c>
      <c r="M277" s="93" t="s">
        <v>131</v>
      </c>
      <c r="N277" s="92" t="s">
        <v>118</v>
      </c>
      <c r="O277" s="147" t="s">
        <v>527</v>
      </c>
    </row>
    <row r="278" spans="1:15" s="91" customFormat="1" ht="63.75" customHeight="1" x14ac:dyDescent="0.3">
      <c r="A278" s="185">
        <v>277</v>
      </c>
      <c r="B278" s="92" t="s">
        <v>394</v>
      </c>
      <c r="C278" s="93" t="s">
        <v>776</v>
      </c>
      <c r="D278" s="92" t="s">
        <v>194</v>
      </c>
      <c r="E278" s="92" t="s">
        <v>18</v>
      </c>
      <c r="F278" s="95">
        <v>45245</v>
      </c>
      <c r="G278" s="93" t="s">
        <v>395</v>
      </c>
      <c r="H278" s="147">
        <v>0</v>
      </c>
      <c r="I278" s="147">
        <v>31</v>
      </c>
      <c r="J278" s="147">
        <v>198</v>
      </c>
      <c r="K278" s="147">
        <v>0</v>
      </c>
      <c r="L278" s="147">
        <f t="shared" si="12"/>
        <v>229</v>
      </c>
      <c r="M278" s="93" t="s">
        <v>714</v>
      </c>
      <c r="N278" s="92" t="s">
        <v>118</v>
      </c>
      <c r="O278" s="147" t="s">
        <v>777</v>
      </c>
    </row>
    <row r="279" spans="1:15" s="96" customFormat="1" ht="122.25" customHeight="1" x14ac:dyDescent="0.3">
      <c r="A279" s="185">
        <v>278</v>
      </c>
      <c r="B279" s="140" t="s">
        <v>855</v>
      </c>
      <c r="C279" s="140" t="s">
        <v>546</v>
      </c>
      <c r="D279" s="92" t="s">
        <v>194</v>
      </c>
      <c r="E279" s="140" t="s">
        <v>18</v>
      </c>
      <c r="F279" s="134" t="s">
        <v>884</v>
      </c>
      <c r="G279" s="140" t="s">
        <v>167</v>
      </c>
      <c r="H279" s="147">
        <v>12</v>
      </c>
      <c r="I279" s="147">
        <v>23</v>
      </c>
      <c r="J279" s="147">
        <v>35</v>
      </c>
      <c r="K279" s="147">
        <v>0</v>
      </c>
      <c r="L279" s="147">
        <f t="shared" si="12"/>
        <v>70</v>
      </c>
      <c r="M279" s="140" t="s">
        <v>28</v>
      </c>
      <c r="N279" s="92" t="s">
        <v>118</v>
      </c>
      <c r="O279" s="147" t="s">
        <v>781</v>
      </c>
    </row>
    <row r="280" spans="1:15" s="137" customFormat="1" ht="78" customHeight="1" x14ac:dyDescent="0.3">
      <c r="A280" s="185">
        <v>279</v>
      </c>
      <c r="B280" s="147" t="s">
        <v>222</v>
      </c>
      <c r="C280" s="147" t="s">
        <v>636</v>
      </c>
      <c r="D280" s="147" t="s">
        <v>68</v>
      </c>
      <c r="E280" s="140" t="s">
        <v>18</v>
      </c>
      <c r="F280" s="145" t="s">
        <v>782</v>
      </c>
      <c r="G280" s="147" t="s">
        <v>634</v>
      </c>
      <c r="H280" s="147">
        <v>20</v>
      </c>
      <c r="I280" s="147">
        <v>120</v>
      </c>
      <c r="J280" s="147">
        <v>125</v>
      </c>
      <c r="K280" s="147">
        <v>15</v>
      </c>
      <c r="L280" s="147">
        <f t="shared" si="12"/>
        <v>280</v>
      </c>
      <c r="M280" s="147" t="s">
        <v>635</v>
      </c>
      <c r="N280" s="147" t="s">
        <v>118</v>
      </c>
      <c r="O280" s="147" t="s">
        <v>637</v>
      </c>
    </row>
    <row r="281" spans="1:15" s="91" customFormat="1" ht="63.75" customHeight="1" x14ac:dyDescent="0.3">
      <c r="A281" s="185">
        <v>280</v>
      </c>
      <c r="B281" s="92" t="s">
        <v>394</v>
      </c>
      <c r="C281" s="93" t="s">
        <v>783</v>
      </c>
      <c r="D281" s="92" t="s">
        <v>194</v>
      </c>
      <c r="E281" s="92" t="s">
        <v>18</v>
      </c>
      <c r="F281" s="95">
        <v>45246</v>
      </c>
      <c r="G281" s="93" t="s">
        <v>395</v>
      </c>
      <c r="H281" s="156">
        <v>0</v>
      </c>
      <c r="I281" s="157">
        <v>67</v>
      </c>
      <c r="J281" s="93">
        <v>308</v>
      </c>
      <c r="K281" s="93">
        <v>0</v>
      </c>
      <c r="L281" s="93">
        <f t="shared" si="12"/>
        <v>375</v>
      </c>
      <c r="M281" s="93" t="s">
        <v>571</v>
      </c>
      <c r="N281" s="92" t="s">
        <v>118</v>
      </c>
      <c r="O281" s="147" t="s">
        <v>784</v>
      </c>
    </row>
    <row r="282" spans="1:15" s="90" customFormat="1" ht="75" customHeight="1" x14ac:dyDescent="0.3">
      <c r="A282" s="185">
        <v>281</v>
      </c>
      <c r="B282" s="147" t="s">
        <v>521</v>
      </c>
      <c r="C282" s="147" t="s">
        <v>522</v>
      </c>
      <c r="D282" s="92" t="s">
        <v>194</v>
      </c>
      <c r="E282" s="147" t="s">
        <v>18</v>
      </c>
      <c r="F282" s="145">
        <v>45246</v>
      </c>
      <c r="G282" s="147" t="s">
        <v>19</v>
      </c>
      <c r="H282" s="143">
        <v>3</v>
      </c>
      <c r="I282" s="162">
        <v>4</v>
      </c>
      <c r="J282" s="34">
        <v>12</v>
      </c>
      <c r="K282" s="34">
        <v>0</v>
      </c>
      <c r="L282" s="34">
        <f t="shared" si="12"/>
        <v>19</v>
      </c>
      <c r="M282" s="147" t="s">
        <v>294</v>
      </c>
      <c r="N282" s="147" t="s">
        <v>118</v>
      </c>
      <c r="O282" s="147" t="s">
        <v>785</v>
      </c>
    </row>
    <row r="283" spans="1:15" s="90" customFormat="1" ht="50.25" customHeight="1" x14ac:dyDescent="0.3">
      <c r="A283" s="185">
        <v>282</v>
      </c>
      <c r="B283" s="147" t="s">
        <v>383</v>
      </c>
      <c r="C283" s="147" t="s">
        <v>523</v>
      </c>
      <c r="D283" s="92" t="s">
        <v>194</v>
      </c>
      <c r="E283" s="147" t="s">
        <v>182</v>
      </c>
      <c r="F283" s="145">
        <v>45246</v>
      </c>
      <c r="G283" s="147" t="s">
        <v>525</v>
      </c>
      <c r="H283" s="143">
        <v>3</v>
      </c>
      <c r="I283" s="162">
        <v>4</v>
      </c>
      <c r="J283" s="34">
        <v>16</v>
      </c>
      <c r="K283" s="34">
        <v>0</v>
      </c>
      <c r="L283" s="34">
        <f t="shared" si="12"/>
        <v>23</v>
      </c>
      <c r="M283" s="147" t="s">
        <v>294</v>
      </c>
      <c r="N283" s="147" t="s">
        <v>118</v>
      </c>
      <c r="O283" s="147" t="s">
        <v>524</v>
      </c>
    </row>
    <row r="284" spans="1:15" s="64" customFormat="1" ht="65.25" customHeight="1" x14ac:dyDescent="0.3">
      <c r="A284" s="185">
        <v>283</v>
      </c>
      <c r="B284" s="147" t="s">
        <v>17</v>
      </c>
      <c r="C284" s="147" t="s">
        <v>551</v>
      </c>
      <c r="D284" s="147" t="s">
        <v>3</v>
      </c>
      <c r="E284" s="147" t="s">
        <v>18</v>
      </c>
      <c r="F284" s="145" t="s">
        <v>885</v>
      </c>
      <c r="G284" s="147" t="s">
        <v>548</v>
      </c>
      <c r="H284" s="22">
        <v>0</v>
      </c>
      <c r="I284" s="162">
        <v>0</v>
      </c>
      <c r="J284" s="34">
        <v>22</v>
      </c>
      <c r="K284" s="34">
        <v>0</v>
      </c>
      <c r="L284" s="34">
        <f t="shared" si="12"/>
        <v>22</v>
      </c>
      <c r="M284" s="147" t="s">
        <v>34</v>
      </c>
      <c r="N284" s="147" t="s">
        <v>342</v>
      </c>
      <c r="O284" s="147" t="s">
        <v>549</v>
      </c>
    </row>
    <row r="285" spans="1:15" s="64" customFormat="1" ht="124.5" customHeight="1" x14ac:dyDescent="0.3">
      <c r="A285" s="185">
        <v>284</v>
      </c>
      <c r="B285" s="147" t="s">
        <v>93</v>
      </c>
      <c r="C285" s="147" t="s">
        <v>786</v>
      </c>
      <c r="D285" s="147" t="s">
        <v>193</v>
      </c>
      <c r="E285" s="147" t="s">
        <v>18</v>
      </c>
      <c r="F285" s="145" t="s">
        <v>886</v>
      </c>
      <c r="G285" s="147" t="s">
        <v>550</v>
      </c>
      <c r="H285" s="22">
        <v>0</v>
      </c>
      <c r="I285" s="162">
        <v>0</v>
      </c>
      <c r="J285" s="34">
        <v>1</v>
      </c>
      <c r="K285" s="34">
        <v>0</v>
      </c>
      <c r="L285" s="34">
        <f t="shared" si="12"/>
        <v>1</v>
      </c>
      <c r="M285" s="147" t="s">
        <v>34</v>
      </c>
      <c r="N285" s="147" t="s">
        <v>342</v>
      </c>
      <c r="O285" s="147" t="s">
        <v>787</v>
      </c>
    </row>
    <row r="286" spans="1:15" s="64" customFormat="1" ht="51.75" customHeight="1" x14ac:dyDescent="0.3">
      <c r="A286" s="185">
        <v>285</v>
      </c>
      <c r="B286" s="147" t="s">
        <v>17</v>
      </c>
      <c r="C286" s="147" t="s">
        <v>622</v>
      </c>
      <c r="D286" s="147" t="s">
        <v>194</v>
      </c>
      <c r="E286" s="147" t="s">
        <v>18</v>
      </c>
      <c r="F286" s="145">
        <v>45249</v>
      </c>
      <c r="G286" s="147" t="s">
        <v>623</v>
      </c>
      <c r="H286" s="22">
        <v>1</v>
      </c>
      <c r="I286" s="162">
        <v>0</v>
      </c>
      <c r="J286" s="34">
        <v>20</v>
      </c>
      <c r="K286" s="34">
        <v>0</v>
      </c>
      <c r="L286" s="34">
        <f t="shared" si="12"/>
        <v>21</v>
      </c>
      <c r="M286" s="147" t="s">
        <v>698</v>
      </c>
      <c r="N286" s="147" t="s">
        <v>118</v>
      </c>
      <c r="O286" s="147" t="s">
        <v>629</v>
      </c>
    </row>
    <row r="287" spans="1:15" s="91" customFormat="1" ht="78" customHeight="1" x14ac:dyDescent="0.3">
      <c r="A287" s="185">
        <v>286</v>
      </c>
      <c r="B287" s="147" t="s">
        <v>394</v>
      </c>
      <c r="C287" s="147" t="s">
        <v>788</v>
      </c>
      <c r="D287" s="92" t="s">
        <v>194</v>
      </c>
      <c r="E287" s="147" t="s">
        <v>18</v>
      </c>
      <c r="F287" s="145">
        <v>45250</v>
      </c>
      <c r="G287" s="147" t="s">
        <v>395</v>
      </c>
      <c r="H287" s="143">
        <v>0</v>
      </c>
      <c r="I287" s="162">
        <v>74</v>
      </c>
      <c r="J287" s="34">
        <v>193</v>
      </c>
      <c r="K287" s="34">
        <v>0</v>
      </c>
      <c r="L287" s="34">
        <f t="shared" si="12"/>
        <v>267</v>
      </c>
      <c r="M287" s="147" t="s">
        <v>789</v>
      </c>
      <c r="N287" s="147" t="s">
        <v>118</v>
      </c>
      <c r="O287" s="147" t="s">
        <v>790</v>
      </c>
    </row>
    <row r="288" spans="1:15" s="91" customFormat="1" ht="63" customHeight="1" x14ac:dyDescent="0.3">
      <c r="A288" s="185">
        <v>287</v>
      </c>
      <c r="B288" s="147" t="s">
        <v>394</v>
      </c>
      <c r="C288" s="147" t="s">
        <v>791</v>
      </c>
      <c r="D288" s="92" t="s">
        <v>194</v>
      </c>
      <c r="E288" s="147" t="s">
        <v>18</v>
      </c>
      <c r="F288" s="145">
        <v>45251</v>
      </c>
      <c r="G288" s="147" t="s">
        <v>395</v>
      </c>
      <c r="H288" s="143">
        <v>0</v>
      </c>
      <c r="I288" s="162">
        <v>2</v>
      </c>
      <c r="J288" s="34">
        <v>97</v>
      </c>
      <c r="K288" s="34">
        <v>0</v>
      </c>
      <c r="L288" s="34">
        <f t="shared" si="12"/>
        <v>99</v>
      </c>
      <c r="M288" s="147" t="s">
        <v>792</v>
      </c>
      <c r="N288" s="147" t="s">
        <v>118</v>
      </c>
      <c r="O288" s="147" t="s">
        <v>529</v>
      </c>
    </row>
    <row r="289" spans="1:15" s="91" customFormat="1" ht="62.25" customHeight="1" x14ac:dyDescent="0.3">
      <c r="A289" s="185">
        <v>288</v>
      </c>
      <c r="B289" s="147" t="s">
        <v>394</v>
      </c>
      <c r="C289" s="147" t="s">
        <v>793</v>
      </c>
      <c r="D289" s="92" t="s">
        <v>194</v>
      </c>
      <c r="E289" s="147" t="s">
        <v>18</v>
      </c>
      <c r="F289" s="145">
        <v>45251</v>
      </c>
      <c r="G289" s="147" t="s">
        <v>395</v>
      </c>
      <c r="H289" s="143">
        <v>0</v>
      </c>
      <c r="I289" s="162">
        <v>99</v>
      </c>
      <c r="J289" s="34">
        <v>214</v>
      </c>
      <c r="K289" s="34">
        <v>0</v>
      </c>
      <c r="L289" s="34">
        <f t="shared" si="12"/>
        <v>313</v>
      </c>
      <c r="M289" s="147" t="s">
        <v>530</v>
      </c>
      <c r="N289" s="147" t="s">
        <v>118</v>
      </c>
      <c r="O289" s="147" t="s">
        <v>794</v>
      </c>
    </row>
    <row r="290" spans="1:15" s="91" customFormat="1" ht="78" customHeight="1" x14ac:dyDescent="0.3">
      <c r="A290" s="185">
        <v>289</v>
      </c>
      <c r="B290" s="147" t="s">
        <v>15</v>
      </c>
      <c r="C290" s="147" t="s">
        <v>598</v>
      </c>
      <c r="D290" s="92" t="s">
        <v>68</v>
      </c>
      <c r="E290" s="147" t="s">
        <v>18</v>
      </c>
      <c r="F290" s="145" t="s">
        <v>887</v>
      </c>
      <c r="G290" s="147" t="s">
        <v>19</v>
      </c>
      <c r="H290" s="143">
        <v>15</v>
      </c>
      <c r="I290" s="162">
        <v>64</v>
      </c>
      <c r="J290" s="34">
        <v>91</v>
      </c>
      <c r="K290" s="34">
        <v>0</v>
      </c>
      <c r="L290" s="34">
        <f t="shared" si="12"/>
        <v>170</v>
      </c>
      <c r="M290" s="147" t="s">
        <v>133</v>
      </c>
      <c r="N290" s="147" t="s">
        <v>118</v>
      </c>
      <c r="O290" s="147" t="s">
        <v>545</v>
      </c>
    </row>
    <row r="291" spans="1:15" s="144" customFormat="1" ht="88.5" customHeight="1" x14ac:dyDescent="0.3">
      <c r="A291" s="185">
        <v>290</v>
      </c>
      <c r="B291" s="147" t="s">
        <v>17</v>
      </c>
      <c r="C291" s="147" t="s">
        <v>753</v>
      </c>
      <c r="D291" s="92" t="s">
        <v>3</v>
      </c>
      <c r="E291" s="147" t="s">
        <v>18</v>
      </c>
      <c r="F291" s="145" t="s">
        <v>754</v>
      </c>
      <c r="G291" s="147" t="s">
        <v>167</v>
      </c>
      <c r="H291" s="143">
        <v>4</v>
      </c>
      <c r="I291" s="162">
        <v>36</v>
      </c>
      <c r="J291" s="34">
        <v>90</v>
      </c>
      <c r="K291" s="34">
        <v>0</v>
      </c>
      <c r="L291" s="34">
        <f>SUM(H291:K291)</f>
        <v>130</v>
      </c>
      <c r="M291" s="147" t="s">
        <v>86</v>
      </c>
      <c r="N291" s="147" t="s">
        <v>118</v>
      </c>
      <c r="O291" s="147" t="s">
        <v>755</v>
      </c>
    </row>
    <row r="292" spans="1:15" s="91" customFormat="1" ht="78" customHeight="1" x14ac:dyDescent="0.3">
      <c r="A292" s="185">
        <v>291</v>
      </c>
      <c r="B292" s="147" t="s">
        <v>394</v>
      </c>
      <c r="C292" s="147" t="s">
        <v>795</v>
      </c>
      <c r="D292" s="92" t="s">
        <v>194</v>
      </c>
      <c r="E292" s="147" t="s">
        <v>18</v>
      </c>
      <c r="F292" s="145">
        <v>45253</v>
      </c>
      <c r="G292" s="147" t="s">
        <v>395</v>
      </c>
      <c r="H292" s="143">
        <v>0</v>
      </c>
      <c r="I292" s="162">
        <v>43</v>
      </c>
      <c r="J292" s="34">
        <v>208</v>
      </c>
      <c r="K292" s="34">
        <v>0</v>
      </c>
      <c r="L292" s="34">
        <f t="shared" ref="L292:L301" si="13">SUM(H292:K292)</f>
        <v>251</v>
      </c>
      <c r="M292" s="147" t="s">
        <v>732</v>
      </c>
      <c r="N292" s="147" t="s">
        <v>118</v>
      </c>
      <c r="O292" s="147" t="s">
        <v>796</v>
      </c>
    </row>
    <row r="293" spans="1:15" ht="48" x14ac:dyDescent="0.3">
      <c r="A293" s="185">
        <v>292</v>
      </c>
      <c r="B293" s="187" t="s">
        <v>15</v>
      </c>
      <c r="C293" s="147" t="s">
        <v>515</v>
      </c>
      <c r="D293" s="34" t="s">
        <v>194</v>
      </c>
      <c r="E293" s="147" t="s">
        <v>18</v>
      </c>
      <c r="F293" s="145">
        <v>45253</v>
      </c>
      <c r="G293" s="147" t="s">
        <v>19</v>
      </c>
      <c r="H293" s="147">
        <v>0</v>
      </c>
      <c r="I293" s="147">
        <v>9</v>
      </c>
      <c r="J293" s="147">
        <v>44</v>
      </c>
      <c r="K293" s="147">
        <v>0</v>
      </c>
      <c r="L293" s="147">
        <f t="shared" si="13"/>
        <v>53</v>
      </c>
      <c r="M293" s="147" t="s">
        <v>518</v>
      </c>
      <c r="N293" s="147" t="s">
        <v>118</v>
      </c>
      <c r="O293" s="147" t="s">
        <v>516</v>
      </c>
    </row>
    <row r="294" spans="1:15" ht="136.5" customHeight="1" x14ac:dyDescent="0.3">
      <c r="A294" s="185">
        <v>293</v>
      </c>
      <c r="B294" s="147" t="s">
        <v>38</v>
      </c>
      <c r="C294" s="147" t="s">
        <v>519</v>
      </c>
      <c r="D294" s="147" t="s">
        <v>162</v>
      </c>
      <c r="E294" s="147" t="s">
        <v>18</v>
      </c>
      <c r="F294" s="145">
        <v>45253</v>
      </c>
      <c r="G294" s="147" t="s">
        <v>19</v>
      </c>
      <c r="H294" s="147">
        <v>0</v>
      </c>
      <c r="I294" s="147">
        <v>2</v>
      </c>
      <c r="J294" s="147">
        <v>17</v>
      </c>
      <c r="K294" s="147">
        <v>0</v>
      </c>
      <c r="L294" s="147">
        <f t="shared" si="13"/>
        <v>19</v>
      </c>
      <c r="M294" s="147" t="s">
        <v>41</v>
      </c>
      <c r="N294" s="147" t="s">
        <v>118</v>
      </c>
      <c r="O294" s="147" t="s">
        <v>520</v>
      </c>
    </row>
    <row r="295" spans="1:15" ht="72" x14ac:dyDescent="0.3">
      <c r="A295" s="185">
        <v>294</v>
      </c>
      <c r="B295" s="147" t="s">
        <v>36</v>
      </c>
      <c r="C295" s="147" t="s">
        <v>531</v>
      </c>
      <c r="D295" s="147" t="s">
        <v>194</v>
      </c>
      <c r="E295" s="147" t="s">
        <v>18</v>
      </c>
      <c r="F295" s="145">
        <v>45254</v>
      </c>
      <c r="G295" s="147" t="s">
        <v>19</v>
      </c>
      <c r="H295" s="147">
        <v>0</v>
      </c>
      <c r="I295" s="147">
        <v>57</v>
      </c>
      <c r="J295" s="147">
        <v>0</v>
      </c>
      <c r="K295" s="147">
        <v>0</v>
      </c>
      <c r="L295" s="147">
        <f t="shared" si="13"/>
        <v>57</v>
      </c>
      <c r="M295" s="147" t="s">
        <v>797</v>
      </c>
      <c r="N295" s="147" t="s">
        <v>118</v>
      </c>
      <c r="O295" s="147" t="s">
        <v>554</v>
      </c>
    </row>
    <row r="296" spans="1:15" s="64" customFormat="1" ht="48" x14ac:dyDescent="0.3">
      <c r="A296" s="185">
        <v>295</v>
      </c>
      <c r="B296" s="147" t="s">
        <v>25</v>
      </c>
      <c r="C296" s="147" t="s">
        <v>552</v>
      </c>
      <c r="D296" s="147" t="s">
        <v>194</v>
      </c>
      <c r="E296" s="147" t="s">
        <v>18</v>
      </c>
      <c r="F296" s="145">
        <v>45254</v>
      </c>
      <c r="G296" s="147" t="s">
        <v>19</v>
      </c>
      <c r="H296" s="147">
        <v>0</v>
      </c>
      <c r="I296" s="147">
        <v>3</v>
      </c>
      <c r="J296" s="147">
        <v>15</v>
      </c>
      <c r="K296" s="147">
        <v>0</v>
      </c>
      <c r="L296" s="147">
        <f t="shared" si="13"/>
        <v>18</v>
      </c>
      <c r="M296" s="147" t="s">
        <v>31</v>
      </c>
      <c r="N296" s="147" t="s">
        <v>118</v>
      </c>
      <c r="O296" s="147" t="s">
        <v>798</v>
      </c>
    </row>
    <row r="297" spans="1:15" s="64" customFormat="1" ht="218.25" customHeight="1" x14ac:dyDescent="0.3">
      <c r="A297" s="185"/>
      <c r="B297" s="186" t="s">
        <v>36</v>
      </c>
      <c r="C297" s="186" t="s">
        <v>831</v>
      </c>
      <c r="D297" s="186" t="s">
        <v>194</v>
      </c>
      <c r="E297" s="186" t="s">
        <v>18</v>
      </c>
      <c r="F297" s="145">
        <v>45256</v>
      </c>
      <c r="G297" s="186" t="s">
        <v>607</v>
      </c>
      <c r="H297" s="186">
        <v>1</v>
      </c>
      <c r="I297" s="186">
        <v>0</v>
      </c>
      <c r="J297" s="186">
        <v>4</v>
      </c>
      <c r="K297" s="186">
        <v>0</v>
      </c>
      <c r="L297" s="186">
        <f t="shared" si="13"/>
        <v>5</v>
      </c>
      <c r="M297" s="186" t="s">
        <v>28</v>
      </c>
      <c r="N297" s="186" t="s">
        <v>118</v>
      </c>
      <c r="O297" s="186" t="s">
        <v>830</v>
      </c>
    </row>
    <row r="298" spans="1:15" s="64" customFormat="1" ht="218.25" customHeight="1" x14ac:dyDescent="0.3">
      <c r="A298" s="185"/>
      <c r="B298" s="186" t="s">
        <v>36</v>
      </c>
      <c r="C298" s="186" t="s">
        <v>833</v>
      </c>
      <c r="D298" s="186" t="s">
        <v>194</v>
      </c>
      <c r="E298" s="186" t="s">
        <v>18</v>
      </c>
      <c r="F298" s="145">
        <v>45256</v>
      </c>
      <c r="G298" s="186" t="s">
        <v>21</v>
      </c>
      <c r="H298" s="186">
        <v>2</v>
      </c>
      <c r="I298" s="186">
        <v>0</v>
      </c>
      <c r="J298" s="186">
        <v>6</v>
      </c>
      <c r="K298" s="186">
        <v>0</v>
      </c>
      <c r="L298" s="186">
        <f t="shared" si="13"/>
        <v>8</v>
      </c>
      <c r="M298" s="186" t="s">
        <v>28</v>
      </c>
      <c r="N298" s="186" t="s">
        <v>118</v>
      </c>
      <c r="O298" s="186" t="s">
        <v>832</v>
      </c>
    </row>
    <row r="299" spans="1:15" ht="72" x14ac:dyDescent="0.3">
      <c r="A299" s="185">
        <v>296</v>
      </c>
      <c r="B299" s="147" t="s">
        <v>36</v>
      </c>
      <c r="C299" s="147" t="s">
        <v>534</v>
      </c>
      <c r="D299" s="147" t="s">
        <v>194</v>
      </c>
      <c r="E299" s="147" t="s">
        <v>18</v>
      </c>
      <c r="F299" s="145">
        <v>45257</v>
      </c>
      <c r="G299" s="147" t="s">
        <v>19</v>
      </c>
      <c r="H299" s="147">
        <v>0</v>
      </c>
      <c r="I299" s="147">
        <v>33</v>
      </c>
      <c r="J299" s="147">
        <v>53</v>
      </c>
      <c r="K299" s="147">
        <v>0</v>
      </c>
      <c r="L299" s="147">
        <f t="shared" si="13"/>
        <v>86</v>
      </c>
      <c r="M299" s="147" t="s">
        <v>28</v>
      </c>
      <c r="N299" s="147" t="s">
        <v>118</v>
      </c>
      <c r="O299" s="147" t="s">
        <v>555</v>
      </c>
    </row>
    <row r="300" spans="1:15" ht="151.5" customHeight="1" x14ac:dyDescent="0.3">
      <c r="A300" s="185">
        <v>297</v>
      </c>
      <c r="B300" s="147" t="s">
        <v>36</v>
      </c>
      <c r="C300" s="147" t="s">
        <v>535</v>
      </c>
      <c r="D300" s="147" t="s">
        <v>194</v>
      </c>
      <c r="E300" s="147" t="s">
        <v>18</v>
      </c>
      <c r="F300" s="145">
        <v>45257</v>
      </c>
      <c r="G300" s="147" t="s">
        <v>536</v>
      </c>
      <c r="H300" s="147">
        <v>0</v>
      </c>
      <c r="I300" s="147">
        <v>3</v>
      </c>
      <c r="J300" s="147">
        <v>37</v>
      </c>
      <c r="K300" s="147">
        <v>0</v>
      </c>
      <c r="L300" s="147">
        <f t="shared" si="13"/>
        <v>40</v>
      </c>
      <c r="M300" s="147" t="s">
        <v>28</v>
      </c>
      <c r="N300" s="147" t="s">
        <v>118</v>
      </c>
      <c r="O300" s="147" t="s">
        <v>556</v>
      </c>
    </row>
    <row r="301" spans="1:15" s="91" customFormat="1" ht="96" x14ac:dyDescent="0.3">
      <c r="A301" s="185">
        <v>298</v>
      </c>
      <c r="B301" s="147" t="s">
        <v>36</v>
      </c>
      <c r="C301" s="147" t="s">
        <v>537</v>
      </c>
      <c r="D301" s="147" t="s">
        <v>194</v>
      </c>
      <c r="E301" s="147" t="s">
        <v>18</v>
      </c>
      <c r="F301" s="145">
        <v>45258</v>
      </c>
      <c r="G301" s="147" t="s">
        <v>19</v>
      </c>
      <c r="H301" s="147">
        <v>0</v>
      </c>
      <c r="I301" s="147">
        <v>46</v>
      </c>
      <c r="J301" s="147">
        <v>27</v>
      </c>
      <c r="K301" s="147">
        <v>0</v>
      </c>
      <c r="L301" s="147">
        <f t="shared" si="13"/>
        <v>73</v>
      </c>
      <c r="M301" s="147" t="s">
        <v>28</v>
      </c>
      <c r="N301" s="147" t="s">
        <v>118</v>
      </c>
      <c r="O301" s="147" t="s">
        <v>557</v>
      </c>
    </row>
    <row r="302" spans="1:15" s="91" customFormat="1" ht="48" x14ac:dyDescent="0.3">
      <c r="A302" s="185">
        <v>299</v>
      </c>
      <c r="B302" s="147" t="s">
        <v>36</v>
      </c>
      <c r="C302" s="147" t="s">
        <v>538</v>
      </c>
      <c r="D302" s="147" t="s">
        <v>194</v>
      </c>
      <c r="E302" s="147" t="s">
        <v>18</v>
      </c>
      <c r="F302" s="145">
        <v>45258</v>
      </c>
      <c r="G302" s="147" t="s">
        <v>539</v>
      </c>
      <c r="H302" s="147">
        <v>0</v>
      </c>
      <c r="I302" s="147">
        <v>6</v>
      </c>
      <c r="J302" s="147">
        <v>34</v>
      </c>
      <c r="K302" s="147">
        <v>0</v>
      </c>
      <c r="L302" s="147">
        <f t="shared" ref="L302:L311" si="14">SUM(H302:K302)</f>
        <v>40</v>
      </c>
      <c r="M302" s="147" t="s">
        <v>28</v>
      </c>
      <c r="N302" s="147" t="s">
        <v>118</v>
      </c>
      <c r="O302" s="147" t="s">
        <v>558</v>
      </c>
    </row>
    <row r="303" spans="1:15" s="97" customFormat="1" ht="99" customHeight="1" x14ac:dyDescent="0.3">
      <c r="A303" s="185">
        <v>300</v>
      </c>
      <c r="B303" s="147" t="s">
        <v>383</v>
      </c>
      <c r="C303" s="147" t="s">
        <v>547</v>
      </c>
      <c r="D303" s="147" t="s">
        <v>194</v>
      </c>
      <c r="E303" s="147" t="s">
        <v>18</v>
      </c>
      <c r="F303" s="145">
        <v>45258</v>
      </c>
      <c r="G303" s="147" t="s">
        <v>19</v>
      </c>
      <c r="H303" s="147">
        <v>1</v>
      </c>
      <c r="I303" s="147">
        <v>69</v>
      </c>
      <c r="J303" s="147">
        <v>96</v>
      </c>
      <c r="K303" s="147">
        <v>3</v>
      </c>
      <c r="L303" s="147">
        <f t="shared" si="14"/>
        <v>169</v>
      </c>
      <c r="M303" s="147" t="s">
        <v>28</v>
      </c>
      <c r="N303" s="147" t="s">
        <v>118</v>
      </c>
      <c r="O303" s="147" t="s">
        <v>799</v>
      </c>
    </row>
    <row r="304" spans="1:15" s="115" customFormat="1" ht="86.25" customHeight="1" x14ac:dyDescent="0.3">
      <c r="A304" s="185">
        <v>301</v>
      </c>
      <c r="B304" s="147" t="s">
        <v>38</v>
      </c>
      <c r="C304" s="147" t="s">
        <v>582</v>
      </c>
      <c r="D304" s="147" t="s">
        <v>194</v>
      </c>
      <c r="E304" s="147" t="s">
        <v>18</v>
      </c>
      <c r="F304" s="145">
        <v>45259</v>
      </c>
      <c r="G304" s="147" t="s">
        <v>576</v>
      </c>
      <c r="H304" s="147">
        <v>2</v>
      </c>
      <c r="I304" s="147">
        <v>0</v>
      </c>
      <c r="J304" s="147">
        <v>50</v>
      </c>
      <c r="K304" s="147">
        <v>50</v>
      </c>
      <c r="L304" s="147">
        <f t="shared" si="14"/>
        <v>102</v>
      </c>
      <c r="M304" s="147" t="s">
        <v>406</v>
      </c>
      <c r="N304" s="147" t="s">
        <v>118</v>
      </c>
      <c r="O304" s="147" t="s">
        <v>581</v>
      </c>
    </row>
    <row r="305" spans="1:15" s="114" customFormat="1" ht="123.75" customHeight="1" x14ac:dyDescent="0.3">
      <c r="A305" s="185">
        <v>302</v>
      </c>
      <c r="B305" s="147" t="s">
        <v>38</v>
      </c>
      <c r="C305" s="147" t="s">
        <v>580</v>
      </c>
      <c r="D305" s="147" t="s">
        <v>194</v>
      </c>
      <c r="E305" s="147" t="s">
        <v>18</v>
      </c>
      <c r="F305" s="145">
        <v>45259</v>
      </c>
      <c r="G305" s="147" t="s">
        <v>576</v>
      </c>
      <c r="H305" s="147">
        <v>2</v>
      </c>
      <c r="I305" s="147">
        <v>33</v>
      </c>
      <c r="J305" s="147">
        <v>15</v>
      </c>
      <c r="K305" s="147">
        <v>0</v>
      </c>
      <c r="L305" s="147">
        <f t="shared" si="14"/>
        <v>50</v>
      </c>
      <c r="M305" s="147" t="s">
        <v>406</v>
      </c>
      <c r="N305" s="147" t="s">
        <v>118</v>
      </c>
      <c r="O305" s="147" t="s">
        <v>800</v>
      </c>
    </row>
    <row r="306" spans="1:15" s="91" customFormat="1" ht="96" x14ac:dyDescent="0.3">
      <c r="A306" s="185">
        <v>303</v>
      </c>
      <c r="B306" s="147" t="s">
        <v>38</v>
      </c>
      <c r="C306" s="147" t="s">
        <v>540</v>
      </c>
      <c r="D306" s="147" t="s">
        <v>194</v>
      </c>
      <c r="E306" s="147" t="s">
        <v>18</v>
      </c>
      <c r="F306" s="145">
        <v>45259</v>
      </c>
      <c r="G306" s="147" t="s">
        <v>19</v>
      </c>
      <c r="H306" s="147">
        <v>7</v>
      </c>
      <c r="I306" s="147">
        <v>9</v>
      </c>
      <c r="J306" s="147">
        <v>26</v>
      </c>
      <c r="K306" s="147">
        <v>0</v>
      </c>
      <c r="L306" s="147">
        <f t="shared" si="14"/>
        <v>42</v>
      </c>
      <c r="M306" s="147" t="s">
        <v>29</v>
      </c>
      <c r="N306" s="147" t="s">
        <v>118</v>
      </c>
      <c r="O306" s="147" t="s">
        <v>541</v>
      </c>
    </row>
    <row r="307" spans="1:15" ht="220.5" customHeight="1" x14ac:dyDescent="0.3">
      <c r="A307" s="185">
        <v>304</v>
      </c>
      <c r="B307" s="147" t="s">
        <v>93</v>
      </c>
      <c r="C307" s="147" t="s">
        <v>532</v>
      </c>
      <c r="D307" s="147" t="s">
        <v>68</v>
      </c>
      <c r="E307" s="147" t="s">
        <v>18</v>
      </c>
      <c r="F307" s="145">
        <v>45259</v>
      </c>
      <c r="G307" s="147" t="s">
        <v>19</v>
      </c>
      <c r="H307" s="147">
        <v>23</v>
      </c>
      <c r="I307" s="147">
        <v>294</v>
      </c>
      <c r="J307" s="147">
        <v>463</v>
      </c>
      <c r="K307" s="147">
        <v>47</v>
      </c>
      <c r="L307" s="147">
        <f t="shared" si="14"/>
        <v>827</v>
      </c>
      <c r="M307" s="147" t="s">
        <v>28</v>
      </c>
      <c r="N307" s="147" t="s">
        <v>118</v>
      </c>
      <c r="O307" s="147" t="s">
        <v>801</v>
      </c>
    </row>
    <row r="308" spans="1:15" ht="252" x14ac:dyDescent="0.3">
      <c r="A308" s="185">
        <v>305</v>
      </c>
      <c r="B308" s="66" t="s">
        <v>36</v>
      </c>
      <c r="C308" s="147" t="s">
        <v>543</v>
      </c>
      <c r="D308" s="147" t="s">
        <v>194</v>
      </c>
      <c r="E308" s="147" t="s">
        <v>18</v>
      </c>
      <c r="F308" s="145">
        <v>45260</v>
      </c>
      <c r="G308" s="147" t="s">
        <v>542</v>
      </c>
      <c r="H308" s="147">
        <v>0</v>
      </c>
      <c r="I308" s="147">
        <v>5</v>
      </c>
      <c r="J308" s="147">
        <v>35</v>
      </c>
      <c r="K308" s="147">
        <v>0</v>
      </c>
      <c r="L308" s="147">
        <f t="shared" si="14"/>
        <v>40</v>
      </c>
      <c r="M308" s="147" t="s">
        <v>28</v>
      </c>
      <c r="N308" s="147" t="s">
        <v>118</v>
      </c>
      <c r="O308" s="147" t="s">
        <v>802</v>
      </c>
    </row>
    <row r="309" spans="1:15" ht="183" customHeight="1" x14ac:dyDescent="0.3">
      <c r="A309" s="185">
        <v>306</v>
      </c>
      <c r="B309" s="147" t="s">
        <v>93</v>
      </c>
      <c r="C309" s="147" t="s">
        <v>507</v>
      </c>
      <c r="D309" s="147" t="s">
        <v>68</v>
      </c>
      <c r="E309" s="147" t="s">
        <v>18</v>
      </c>
      <c r="F309" s="145">
        <v>45260</v>
      </c>
      <c r="G309" s="147" t="s">
        <v>19</v>
      </c>
      <c r="H309" s="147">
        <v>4</v>
      </c>
      <c r="I309" s="147">
        <v>20</v>
      </c>
      <c r="J309" s="147">
        <v>44</v>
      </c>
      <c r="K309" s="147">
        <v>1</v>
      </c>
      <c r="L309" s="147">
        <f t="shared" si="14"/>
        <v>69</v>
      </c>
      <c r="M309" s="147" t="s">
        <v>28</v>
      </c>
      <c r="N309" s="147" t="s">
        <v>118</v>
      </c>
      <c r="O309" s="147" t="s">
        <v>544</v>
      </c>
    </row>
    <row r="310" spans="1:15" s="120" customFormat="1" ht="61.5" customHeight="1" x14ac:dyDescent="0.3">
      <c r="A310" s="185">
        <v>307</v>
      </c>
      <c r="B310" s="147" t="s">
        <v>93</v>
      </c>
      <c r="C310" s="147" t="s">
        <v>593</v>
      </c>
      <c r="D310" s="147" t="s">
        <v>194</v>
      </c>
      <c r="E310" s="147" t="s">
        <v>18</v>
      </c>
      <c r="F310" s="145">
        <v>45261</v>
      </c>
      <c r="G310" s="147" t="s">
        <v>19</v>
      </c>
      <c r="H310" s="147">
        <v>1</v>
      </c>
      <c r="I310" s="147">
        <v>15</v>
      </c>
      <c r="J310" s="147">
        <v>30</v>
      </c>
      <c r="K310" s="147">
        <v>0</v>
      </c>
      <c r="L310" s="147">
        <f t="shared" si="14"/>
        <v>46</v>
      </c>
      <c r="M310" s="147" t="s">
        <v>49</v>
      </c>
      <c r="N310" s="147" t="s">
        <v>118</v>
      </c>
      <c r="O310" s="147" t="s">
        <v>804</v>
      </c>
    </row>
    <row r="311" spans="1:15" ht="62.25" customHeight="1" x14ac:dyDescent="0.3">
      <c r="A311" s="185">
        <v>308</v>
      </c>
      <c r="B311" s="147" t="s">
        <v>25</v>
      </c>
      <c r="C311" s="147" t="s">
        <v>552</v>
      </c>
      <c r="D311" s="147" t="s">
        <v>194</v>
      </c>
      <c r="E311" s="147" t="s">
        <v>18</v>
      </c>
      <c r="F311" s="145">
        <v>45261</v>
      </c>
      <c r="G311" s="147" t="s">
        <v>19</v>
      </c>
      <c r="H311" s="147">
        <v>0</v>
      </c>
      <c r="I311" s="147">
        <v>0</v>
      </c>
      <c r="J311" s="147">
        <v>16</v>
      </c>
      <c r="K311" s="147">
        <v>0</v>
      </c>
      <c r="L311" s="147">
        <f t="shared" si="14"/>
        <v>16</v>
      </c>
      <c r="M311" s="147" t="s">
        <v>31</v>
      </c>
      <c r="N311" s="147" t="s">
        <v>118</v>
      </c>
      <c r="O311" s="147" t="s">
        <v>803</v>
      </c>
    </row>
    <row r="312" spans="1:15" s="117" customFormat="1" ht="75" customHeight="1" x14ac:dyDescent="0.3">
      <c r="A312" s="185">
        <v>309</v>
      </c>
      <c r="B312" s="147" t="s">
        <v>15</v>
      </c>
      <c r="C312" s="147" t="s">
        <v>585</v>
      </c>
      <c r="D312" s="147" t="s">
        <v>68</v>
      </c>
      <c r="E312" s="147" t="s">
        <v>18</v>
      </c>
      <c r="F312" s="145" t="s">
        <v>587</v>
      </c>
      <c r="G312" s="147" t="s">
        <v>586</v>
      </c>
      <c r="H312" s="147">
        <v>5</v>
      </c>
      <c r="I312" s="147">
        <v>9</v>
      </c>
      <c r="J312" s="147">
        <v>32</v>
      </c>
      <c r="K312" s="147">
        <v>0</v>
      </c>
      <c r="L312" s="147">
        <f t="shared" ref="L312:L320" si="15">SUM(H312:K312)</f>
        <v>46</v>
      </c>
      <c r="M312" s="147" t="s">
        <v>133</v>
      </c>
      <c r="N312" s="147" t="s">
        <v>118</v>
      </c>
      <c r="O312" s="147" t="s">
        <v>805</v>
      </c>
    </row>
    <row r="313" spans="1:15" s="144" customFormat="1" ht="79.5" customHeight="1" x14ac:dyDescent="0.3">
      <c r="A313" s="185">
        <v>310</v>
      </c>
      <c r="B313" s="40" t="s">
        <v>135</v>
      </c>
      <c r="C313" s="40" t="s">
        <v>823</v>
      </c>
      <c r="D313" s="40" t="s">
        <v>194</v>
      </c>
      <c r="E313" s="40" t="s">
        <v>18</v>
      </c>
      <c r="F313" s="111" t="s">
        <v>824</v>
      </c>
      <c r="G313" s="40" t="s">
        <v>167</v>
      </c>
      <c r="H313" s="40">
        <v>20</v>
      </c>
      <c r="I313" s="40">
        <v>0</v>
      </c>
      <c r="J313" s="40">
        <v>40</v>
      </c>
      <c r="K313" s="40">
        <v>0</v>
      </c>
      <c r="L313" s="40">
        <f t="shared" si="15"/>
        <v>60</v>
      </c>
      <c r="M313" s="40" t="s">
        <v>825</v>
      </c>
      <c r="N313" s="40" t="s">
        <v>118</v>
      </c>
      <c r="O313" s="40"/>
    </row>
    <row r="314" spans="1:15" s="138" customFormat="1" ht="51.75" customHeight="1" x14ac:dyDescent="0.3">
      <c r="A314" s="185">
        <v>311</v>
      </c>
      <c r="B314" s="147" t="s">
        <v>17</v>
      </c>
      <c r="C314" s="147" t="s">
        <v>626</v>
      </c>
      <c r="D314" s="147" t="s">
        <v>194</v>
      </c>
      <c r="E314" s="147" t="s">
        <v>18</v>
      </c>
      <c r="F314" s="145">
        <v>45263</v>
      </c>
      <c r="G314" s="147" t="s">
        <v>627</v>
      </c>
      <c r="H314" s="147">
        <v>1</v>
      </c>
      <c r="I314" s="147">
        <v>7</v>
      </c>
      <c r="J314" s="147">
        <v>13</v>
      </c>
      <c r="K314" s="147">
        <v>0</v>
      </c>
      <c r="L314" s="147">
        <f t="shared" si="15"/>
        <v>21</v>
      </c>
      <c r="M314" s="147" t="s">
        <v>698</v>
      </c>
      <c r="N314" s="147" t="s">
        <v>118</v>
      </c>
      <c r="O314" s="147" t="s">
        <v>630</v>
      </c>
    </row>
    <row r="315" spans="1:15" s="109" customFormat="1" ht="277.5" customHeight="1" x14ac:dyDescent="0.3">
      <c r="A315" s="185">
        <v>312</v>
      </c>
      <c r="B315" s="147" t="s">
        <v>394</v>
      </c>
      <c r="C315" s="147" t="s">
        <v>573</v>
      </c>
      <c r="D315" s="147" t="s">
        <v>194</v>
      </c>
      <c r="E315" s="147" t="s">
        <v>18</v>
      </c>
      <c r="F315" s="145">
        <v>45267</v>
      </c>
      <c r="G315" s="147" t="s">
        <v>395</v>
      </c>
      <c r="H315" s="147">
        <v>15</v>
      </c>
      <c r="I315" s="147">
        <v>143</v>
      </c>
      <c r="J315" s="147">
        <v>346</v>
      </c>
      <c r="K315" s="147">
        <v>7</v>
      </c>
      <c r="L315" s="147">
        <f t="shared" si="15"/>
        <v>511</v>
      </c>
      <c r="M315" s="147" t="s">
        <v>574</v>
      </c>
      <c r="N315" s="147" t="s">
        <v>118</v>
      </c>
      <c r="O315" s="147" t="s">
        <v>806</v>
      </c>
    </row>
    <row r="316" spans="1:15" s="119" customFormat="1" ht="48" x14ac:dyDescent="0.3">
      <c r="A316" s="185">
        <v>313</v>
      </c>
      <c r="B316" s="147" t="s">
        <v>25</v>
      </c>
      <c r="C316" s="147" t="s">
        <v>552</v>
      </c>
      <c r="D316" s="147" t="s">
        <v>194</v>
      </c>
      <c r="E316" s="147" t="s">
        <v>18</v>
      </c>
      <c r="F316" s="145">
        <v>45268</v>
      </c>
      <c r="G316" s="147" t="s">
        <v>592</v>
      </c>
      <c r="H316" s="147">
        <v>0</v>
      </c>
      <c r="I316" s="147">
        <v>15</v>
      </c>
      <c r="J316" s="147">
        <v>3</v>
      </c>
      <c r="K316" s="147">
        <v>0</v>
      </c>
      <c r="L316" s="147">
        <f t="shared" si="15"/>
        <v>18</v>
      </c>
      <c r="M316" s="147" t="s">
        <v>31</v>
      </c>
      <c r="N316" s="147" t="s">
        <v>118</v>
      </c>
      <c r="O316" s="147" t="s">
        <v>807</v>
      </c>
    </row>
    <row r="317" spans="1:15" s="102" customFormat="1" ht="114.75" customHeight="1" x14ac:dyDescent="0.3">
      <c r="A317" s="185">
        <v>314</v>
      </c>
      <c r="B317" s="147" t="s">
        <v>15</v>
      </c>
      <c r="C317" s="147" t="s">
        <v>588</v>
      </c>
      <c r="D317" s="147" t="s">
        <v>194</v>
      </c>
      <c r="E317" s="147" t="s">
        <v>18</v>
      </c>
      <c r="F317" s="145">
        <v>45272</v>
      </c>
      <c r="G317" s="147" t="s">
        <v>19</v>
      </c>
      <c r="H317" s="147">
        <v>0</v>
      </c>
      <c r="I317" s="147">
        <v>5</v>
      </c>
      <c r="J317" s="147">
        <v>37</v>
      </c>
      <c r="K317" s="147">
        <v>0</v>
      </c>
      <c r="L317" s="147">
        <f t="shared" si="15"/>
        <v>42</v>
      </c>
      <c r="M317" s="147" t="s">
        <v>133</v>
      </c>
      <c r="N317" s="147" t="s">
        <v>118</v>
      </c>
      <c r="O317" s="147" t="s">
        <v>589</v>
      </c>
    </row>
    <row r="318" spans="1:15" s="121" customFormat="1" ht="133.5" customHeight="1" x14ac:dyDescent="0.3">
      <c r="A318" s="185">
        <v>315</v>
      </c>
      <c r="B318" s="147" t="s">
        <v>93</v>
      </c>
      <c r="C318" s="147" t="s">
        <v>594</v>
      </c>
      <c r="D318" s="147" t="s">
        <v>194</v>
      </c>
      <c r="E318" s="147" t="s">
        <v>18</v>
      </c>
      <c r="F318" s="145">
        <v>45272</v>
      </c>
      <c r="G318" s="147" t="s">
        <v>19</v>
      </c>
      <c r="H318" s="147">
        <v>0</v>
      </c>
      <c r="I318" s="147">
        <v>40</v>
      </c>
      <c r="J318" s="147">
        <v>80</v>
      </c>
      <c r="K318" s="147">
        <v>0</v>
      </c>
      <c r="L318" s="147">
        <f t="shared" si="15"/>
        <v>120</v>
      </c>
      <c r="M318" s="147" t="s">
        <v>49</v>
      </c>
      <c r="N318" s="147" t="s">
        <v>118</v>
      </c>
      <c r="O318" s="147" t="s">
        <v>808</v>
      </c>
    </row>
    <row r="319" spans="1:15" s="183" customFormat="1" ht="75.75" customHeight="1" x14ac:dyDescent="0.3">
      <c r="A319" s="132">
        <v>316</v>
      </c>
      <c r="B319" s="66" t="s">
        <v>15</v>
      </c>
      <c r="C319" s="66" t="s">
        <v>596</v>
      </c>
      <c r="D319" s="66" t="s">
        <v>194</v>
      </c>
      <c r="E319" s="66" t="s">
        <v>18</v>
      </c>
      <c r="F319" s="82">
        <v>45273</v>
      </c>
      <c r="G319" s="66" t="s">
        <v>19</v>
      </c>
      <c r="H319" s="66">
        <v>10</v>
      </c>
      <c r="I319" s="66">
        <v>60</v>
      </c>
      <c r="J319" s="66">
        <v>120</v>
      </c>
      <c r="K319" s="66">
        <v>10</v>
      </c>
      <c r="L319" s="66">
        <f t="shared" si="15"/>
        <v>200</v>
      </c>
      <c r="M319" s="66" t="s">
        <v>597</v>
      </c>
      <c r="N319" s="66" t="s">
        <v>118</v>
      </c>
      <c r="O319" s="66" t="s">
        <v>834</v>
      </c>
    </row>
    <row r="320" spans="1:15" s="122" customFormat="1" ht="134.25" customHeight="1" x14ac:dyDescent="0.3">
      <c r="A320" s="185">
        <v>317</v>
      </c>
      <c r="B320" s="147" t="s">
        <v>15</v>
      </c>
      <c r="C320" s="147" t="s">
        <v>638</v>
      </c>
      <c r="D320" s="147" t="s">
        <v>194</v>
      </c>
      <c r="E320" s="147" t="s">
        <v>18</v>
      </c>
      <c r="F320" s="145">
        <v>45273</v>
      </c>
      <c r="G320" s="147" t="s">
        <v>19</v>
      </c>
      <c r="H320" s="147">
        <v>0</v>
      </c>
      <c r="I320" s="147">
        <v>5</v>
      </c>
      <c r="J320" s="147">
        <v>28</v>
      </c>
      <c r="K320" s="147">
        <v>8</v>
      </c>
      <c r="L320" s="147">
        <f t="shared" si="15"/>
        <v>41</v>
      </c>
      <c r="M320" s="147" t="s">
        <v>31</v>
      </c>
      <c r="N320" s="147" t="s">
        <v>118</v>
      </c>
      <c r="O320" s="147" t="s">
        <v>639</v>
      </c>
    </row>
    <row r="321" spans="1:15" s="183" customFormat="1" ht="171.75" customHeight="1" x14ac:dyDescent="0.3">
      <c r="A321" s="185">
        <v>318</v>
      </c>
      <c r="B321" s="66" t="s">
        <v>135</v>
      </c>
      <c r="C321" s="66" t="s">
        <v>821</v>
      </c>
      <c r="D321" s="66" t="s">
        <v>173</v>
      </c>
      <c r="E321" s="66" t="s">
        <v>18</v>
      </c>
      <c r="F321" s="82" t="s">
        <v>822</v>
      </c>
      <c r="G321" s="66" t="s">
        <v>167</v>
      </c>
      <c r="H321" s="66">
        <v>20</v>
      </c>
      <c r="I321" s="66">
        <v>20</v>
      </c>
      <c r="J321" s="66">
        <v>75</v>
      </c>
      <c r="K321" s="66">
        <v>5</v>
      </c>
      <c r="L321" s="66">
        <f>SUM(H321:K321)</f>
        <v>120</v>
      </c>
      <c r="M321" s="66" t="s">
        <v>34</v>
      </c>
      <c r="N321" s="66" t="s">
        <v>118</v>
      </c>
      <c r="O321" s="184" t="s">
        <v>827</v>
      </c>
    </row>
    <row r="322" spans="1:15" s="122" customFormat="1" ht="72" x14ac:dyDescent="0.3">
      <c r="A322" s="185">
        <v>319</v>
      </c>
      <c r="B322" s="147" t="s">
        <v>135</v>
      </c>
      <c r="C322" s="147" t="s">
        <v>595</v>
      </c>
      <c r="D322" s="147" t="s">
        <v>194</v>
      </c>
      <c r="E322" s="147" t="s">
        <v>18</v>
      </c>
      <c r="F322" s="145">
        <v>45274</v>
      </c>
      <c r="G322" s="147" t="s">
        <v>19</v>
      </c>
      <c r="H322" s="147">
        <v>1</v>
      </c>
      <c r="I322" s="147">
        <v>15</v>
      </c>
      <c r="J322" s="147">
        <v>15</v>
      </c>
      <c r="K322" s="147">
        <v>0</v>
      </c>
      <c r="L322" s="147">
        <f t="shared" ref="L322:L330" si="16">SUM(H322:K322)</f>
        <v>31</v>
      </c>
      <c r="M322" s="147" t="s">
        <v>809</v>
      </c>
      <c r="N322" s="147" t="s">
        <v>118</v>
      </c>
      <c r="O322" s="182" t="s">
        <v>810</v>
      </c>
    </row>
    <row r="323" spans="1:15" ht="132" x14ac:dyDescent="0.3">
      <c r="A323" s="185">
        <v>320</v>
      </c>
      <c r="B323" s="147" t="s">
        <v>38</v>
      </c>
      <c r="C323" s="147" t="s">
        <v>811</v>
      </c>
      <c r="D323" s="147" t="s">
        <v>192</v>
      </c>
      <c r="E323" s="147" t="s">
        <v>18</v>
      </c>
      <c r="F323" s="145">
        <v>45275</v>
      </c>
      <c r="G323" s="147" t="s">
        <v>570</v>
      </c>
      <c r="H323" s="147">
        <v>0</v>
      </c>
      <c r="I323" s="147">
        <v>0</v>
      </c>
      <c r="J323" s="147">
        <v>12</v>
      </c>
      <c r="K323" s="147">
        <v>0</v>
      </c>
      <c r="L323" s="147">
        <f t="shared" si="16"/>
        <v>12</v>
      </c>
      <c r="M323" s="147" t="s">
        <v>571</v>
      </c>
      <c r="N323" s="147" t="s">
        <v>342</v>
      </c>
      <c r="O323" s="147" t="s">
        <v>572</v>
      </c>
    </row>
    <row r="324" spans="1:15" s="141" customFormat="1" ht="36" x14ac:dyDescent="0.3">
      <c r="A324" s="185">
        <v>321</v>
      </c>
      <c r="B324" s="147" t="s">
        <v>15</v>
      </c>
      <c r="C324" s="147" t="s">
        <v>552</v>
      </c>
      <c r="D324" s="147" t="s">
        <v>194</v>
      </c>
      <c r="E324" s="147" t="s">
        <v>18</v>
      </c>
      <c r="F324" s="145">
        <v>45275</v>
      </c>
      <c r="G324" s="147" t="s">
        <v>640</v>
      </c>
      <c r="H324" s="147">
        <v>0</v>
      </c>
      <c r="I324" s="147">
        <v>2</v>
      </c>
      <c r="J324" s="147">
        <v>5</v>
      </c>
      <c r="K324" s="147">
        <v>0</v>
      </c>
      <c r="L324" s="147">
        <f t="shared" si="16"/>
        <v>7</v>
      </c>
      <c r="M324" s="147" t="s">
        <v>31</v>
      </c>
      <c r="N324" s="147" t="s">
        <v>118</v>
      </c>
      <c r="O324" s="147" t="s">
        <v>812</v>
      </c>
    </row>
    <row r="325" spans="1:15" ht="48" x14ac:dyDescent="0.3">
      <c r="A325" s="185">
        <v>322</v>
      </c>
      <c r="B325" s="147" t="s">
        <v>15</v>
      </c>
      <c r="C325" s="147" t="s">
        <v>813</v>
      </c>
      <c r="D325" s="147" t="s">
        <v>194</v>
      </c>
      <c r="E325" s="147" t="s">
        <v>18</v>
      </c>
      <c r="F325" s="145">
        <v>45275</v>
      </c>
      <c r="G325" s="147" t="s">
        <v>19</v>
      </c>
      <c r="H325" s="147">
        <v>0</v>
      </c>
      <c r="I325" s="147">
        <v>5</v>
      </c>
      <c r="J325" s="147">
        <v>18</v>
      </c>
      <c r="K325" s="147">
        <v>0</v>
      </c>
      <c r="L325" s="147">
        <f t="shared" si="16"/>
        <v>23</v>
      </c>
      <c r="M325" s="187" t="s">
        <v>353</v>
      </c>
      <c r="N325" s="147" t="s">
        <v>118</v>
      </c>
      <c r="O325" s="147" t="s">
        <v>814</v>
      </c>
    </row>
    <row r="326" spans="1:15" ht="60" x14ac:dyDescent="0.3">
      <c r="A326" s="185">
        <v>323</v>
      </c>
      <c r="B326" s="147" t="s">
        <v>17</v>
      </c>
      <c r="C326" s="147" t="s">
        <v>626</v>
      </c>
      <c r="D326" s="147" t="s">
        <v>194</v>
      </c>
      <c r="E326" s="147" t="s">
        <v>18</v>
      </c>
      <c r="F326" s="145">
        <v>45277</v>
      </c>
      <c r="G326" s="147" t="s">
        <v>627</v>
      </c>
      <c r="H326" s="147">
        <v>1</v>
      </c>
      <c r="I326" s="147">
        <v>5</v>
      </c>
      <c r="J326" s="147">
        <v>15</v>
      </c>
      <c r="K326" s="147">
        <v>0</v>
      </c>
      <c r="L326" s="147">
        <f t="shared" si="16"/>
        <v>21</v>
      </c>
      <c r="M326" s="147" t="s">
        <v>698</v>
      </c>
      <c r="N326" s="147" t="s">
        <v>118</v>
      </c>
      <c r="O326" s="147" t="s">
        <v>631</v>
      </c>
    </row>
    <row r="327" spans="1:15" ht="48" x14ac:dyDescent="0.3">
      <c r="A327" s="185">
        <v>324</v>
      </c>
      <c r="B327" s="147" t="s">
        <v>93</v>
      </c>
      <c r="C327" s="147" t="s">
        <v>650</v>
      </c>
      <c r="D327" s="147" t="s">
        <v>194</v>
      </c>
      <c r="E327" s="147" t="s">
        <v>18</v>
      </c>
      <c r="F327" s="145" t="s">
        <v>651</v>
      </c>
      <c r="G327" s="147" t="s">
        <v>167</v>
      </c>
      <c r="H327" s="147">
        <v>6</v>
      </c>
      <c r="I327" s="147">
        <v>26</v>
      </c>
      <c r="J327" s="147">
        <v>76</v>
      </c>
      <c r="K327" s="147">
        <v>3</v>
      </c>
      <c r="L327" s="147">
        <f t="shared" si="16"/>
        <v>111</v>
      </c>
      <c r="M327" s="147" t="s">
        <v>652</v>
      </c>
      <c r="N327" s="147" t="s">
        <v>118</v>
      </c>
      <c r="O327" s="147" t="s">
        <v>653</v>
      </c>
    </row>
    <row r="328" spans="1:15" ht="60" x14ac:dyDescent="0.3">
      <c r="A328" s="185">
        <v>325</v>
      </c>
      <c r="B328" s="147" t="s">
        <v>394</v>
      </c>
      <c r="C328" s="147" t="s">
        <v>655</v>
      </c>
      <c r="D328" s="147" t="s">
        <v>194</v>
      </c>
      <c r="E328" s="147" t="s">
        <v>18</v>
      </c>
      <c r="F328" s="145">
        <v>45278</v>
      </c>
      <c r="G328" s="147" t="s">
        <v>656</v>
      </c>
      <c r="H328" s="147">
        <v>0</v>
      </c>
      <c r="I328" s="147">
        <v>70</v>
      </c>
      <c r="J328" s="147">
        <v>0</v>
      </c>
      <c r="K328" s="147">
        <v>0</v>
      </c>
      <c r="L328" s="147">
        <f t="shared" si="16"/>
        <v>70</v>
      </c>
      <c r="M328" s="147" t="s">
        <v>569</v>
      </c>
      <c r="N328" s="147" t="s">
        <v>118</v>
      </c>
      <c r="O328" s="147" t="s">
        <v>654</v>
      </c>
    </row>
    <row r="329" spans="1:15" s="144" customFormat="1" ht="168" x14ac:dyDescent="0.3">
      <c r="A329" s="185">
        <v>326</v>
      </c>
      <c r="B329" s="147" t="s">
        <v>15</v>
      </c>
      <c r="C329" s="147" t="s">
        <v>820</v>
      </c>
      <c r="D329" s="147" t="s">
        <v>194</v>
      </c>
      <c r="E329" s="147" t="s">
        <v>18</v>
      </c>
      <c r="F329" s="145">
        <v>45281</v>
      </c>
      <c r="G329" s="147" t="s">
        <v>19</v>
      </c>
      <c r="H329" s="147">
        <v>53</v>
      </c>
      <c r="I329" s="147">
        <v>0</v>
      </c>
      <c r="J329" s="147">
        <v>4</v>
      </c>
      <c r="K329" s="147">
        <v>0</v>
      </c>
      <c r="L329" s="147">
        <f t="shared" si="16"/>
        <v>57</v>
      </c>
      <c r="M329" s="140" t="s">
        <v>818</v>
      </c>
      <c r="N329" s="147" t="s">
        <v>118</v>
      </c>
      <c r="O329" s="147" t="s">
        <v>826</v>
      </c>
    </row>
    <row r="330" spans="1:15" ht="96" customHeight="1" x14ac:dyDescent="0.3">
      <c r="A330" s="185">
        <v>327</v>
      </c>
      <c r="B330" s="140" t="s">
        <v>15</v>
      </c>
      <c r="C330" s="140" t="s">
        <v>816</v>
      </c>
      <c r="D330" s="147" t="s">
        <v>194</v>
      </c>
      <c r="E330" s="147" t="s">
        <v>18</v>
      </c>
      <c r="F330" s="79">
        <v>45287</v>
      </c>
      <c r="G330" s="140" t="s">
        <v>817</v>
      </c>
      <c r="H330" s="140">
        <v>6</v>
      </c>
      <c r="I330" s="140">
        <v>49</v>
      </c>
      <c r="J330" s="140">
        <v>108</v>
      </c>
      <c r="K330" s="140">
        <v>4</v>
      </c>
      <c r="L330" s="140">
        <f t="shared" si="16"/>
        <v>167</v>
      </c>
      <c r="M330" s="140" t="s">
        <v>818</v>
      </c>
      <c r="N330" s="147" t="s">
        <v>118</v>
      </c>
      <c r="O330" s="140" t="s">
        <v>819</v>
      </c>
    </row>
    <row r="331" spans="1:15" ht="49.5" customHeight="1" x14ac:dyDescent="0.3">
      <c r="A331" s="185">
        <v>328</v>
      </c>
      <c r="B331" s="2" t="s">
        <v>15</v>
      </c>
      <c r="C331" s="2" t="s">
        <v>828</v>
      </c>
      <c r="D331" s="186" t="s">
        <v>194</v>
      </c>
      <c r="E331" s="186" t="s">
        <v>18</v>
      </c>
      <c r="F331" s="4">
        <v>45288</v>
      </c>
      <c r="G331" s="186" t="s">
        <v>19</v>
      </c>
      <c r="H331" s="42">
        <v>30</v>
      </c>
      <c r="I331" s="42">
        <v>50</v>
      </c>
      <c r="J331" s="42">
        <v>500</v>
      </c>
      <c r="K331" s="42">
        <v>50</v>
      </c>
      <c r="L331" s="42">
        <f>SUM(H331:K331)</f>
        <v>630</v>
      </c>
      <c r="M331" s="2" t="s">
        <v>34</v>
      </c>
      <c r="N331" s="186" t="s">
        <v>118</v>
      </c>
      <c r="O331" s="2" t="s">
        <v>829</v>
      </c>
    </row>
    <row r="332" spans="1:15" ht="60" x14ac:dyDescent="0.3">
      <c r="A332" s="1"/>
      <c r="B332" s="2" t="s">
        <v>17</v>
      </c>
      <c r="C332" s="2" t="s">
        <v>835</v>
      </c>
      <c r="D332" s="2" t="s">
        <v>194</v>
      </c>
      <c r="E332" s="2" t="s">
        <v>18</v>
      </c>
      <c r="F332" s="4">
        <v>45290</v>
      </c>
      <c r="G332" s="187" t="s">
        <v>837</v>
      </c>
      <c r="H332" s="42">
        <v>1</v>
      </c>
      <c r="I332" s="42">
        <v>2</v>
      </c>
      <c r="J332" s="42">
        <v>18</v>
      </c>
      <c r="K332" s="42">
        <v>0</v>
      </c>
      <c r="L332" s="42">
        <v>21</v>
      </c>
      <c r="M332" s="2" t="s">
        <v>698</v>
      </c>
      <c r="N332" s="2" t="s">
        <v>118</v>
      </c>
      <c r="O332" s="2" t="s">
        <v>836</v>
      </c>
    </row>
    <row r="333" spans="1:15" x14ac:dyDescent="0.3">
      <c r="A333" s="1"/>
      <c r="B333" s="2"/>
      <c r="C333" s="2"/>
      <c r="D333" s="2"/>
      <c r="E333" s="2"/>
      <c r="F333" s="4"/>
      <c r="G333" s="2"/>
      <c r="H333" s="42"/>
      <c r="I333" s="42"/>
      <c r="J333" s="42"/>
      <c r="K333" s="42"/>
      <c r="L333" s="42"/>
      <c r="M333" s="2"/>
      <c r="N333" s="2"/>
      <c r="O333" s="2"/>
    </row>
    <row r="334" spans="1:15" x14ac:dyDescent="0.3">
      <c r="A334" s="1"/>
      <c r="B334" s="2"/>
      <c r="C334" s="2"/>
      <c r="D334" s="2"/>
      <c r="E334" s="2"/>
      <c r="F334" s="4"/>
      <c r="G334" s="2"/>
      <c r="H334" s="42"/>
      <c r="I334" s="42"/>
      <c r="J334" s="42"/>
      <c r="K334" s="42"/>
      <c r="L334" s="42"/>
      <c r="M334" s="2"/>
      <c r="N334" s="2"/>
      <c r="O334" s="2"/>
    </row>
    <row r="335" spans="1:15" x14ac:dyDescent="0.3">
      <c r="A335" s="1"/>
      <c r="B335" s="2"/>
      <c r="C335" s="2"/>
      <c r="D335" s="2"/>
      <c r="E335" s="2"/>
      <c r="F335" s="4"/>
      <c r="G335" s="2"/>
      <c r="H335" s="42"/>
      <c r="I335" s="42"/>
      <c r="J335" s="42"/>
      <c r="K335" s="42"/>
      <c r="L335" s="42"/>
      <c r="M335" s="2"/>
      <c r="N335" s="2"/>
      <c r="O335" s="2"/>
    </row>
    <row r="336" spans="1:15" x14ac:dyDescent="0.3">
      <c r="A336" s="1"/>
      <c r="B336" s="2"/>
      <c r="C336" s="2"/>
      <c r="D336" s="2"/>
      <c r="E336" s="2"/>
      <c r="F336" s="4"/>
      <c r="G336" s="2"/>
      <c r="H336" s="42"/>
      <c r="I336" s="42"/>
      <c r="J336" s="42"/>
      <c r="K336" s="42"/>
      <c r="L336" s="42"/>
      <c r="M336" s="2"/>
      <c r="N336" s="2"/>
      <c r="O336" s="2"/>
    </row>
    <row r="337" spans="1:15" x14ac:dyDescent="0.3">
      <c r="A337" s="1"/>
      <c r="B337" s="2"/>
      <c r="C337" s="2"/>
      <c r="D337" s="2"/>
      <c r="E337" s="2"/>
      <c r="F337" s="4"/>
      <c r="G337" s="2"/>
      <c r="H337" s="42"/>
      <c r="I337" s="42"/>
      <c r="J337" s="42"/>
      <c r="K337" s="42"/>
      <c r="L337" s="42"/>
      <c r="M337" s="2"/>
      <c r="N337" s="2"/>
      <c r="O337" s="2"/>
    </row>
    <row r="338" spans="1:15" x14ac:dyDescent="0.3">
      <c r="A338" s="1"/>
      <c r="B338" s="2"/>
      <c r="C338" s="2"/>
      <c r="D338" s="2"/>
      <c r="E338" s="2"/>
      <c r="F338" s="4"/>
      <c r="G338" s="2"/>
      <c r="H338" s="42"/>
      <c r="I338" s="42"/>
      <c r="J338" s="42"/>
      <c r="K338" s="42"/>
      <c r="L338" s="42"/>
      <c r="M338" s="2"/>
      <c r="N338" s="2"/>
      <c r="O338" s="2"/>
    </row>
    <row r="339" spans="1:15" x14ac:dyDescent="0.3">
      <c r="A339" s="1"/>
      <c r="B339" s="2"/>
      <c r="C339" s="2"/>
      <c r="D339" s="2"/>
      <c r="E339" s="2"/>
      <c r="F339" s="4"/>
      <c r="G339" s="2"/>
      <c r="H339" s="42"/>
      <c r="I339" s="42"/>
      <c r="J339" s="42"/>
      <c r="K339" s="42"/>
      <c r="L339" s="42"/>
      <c r="M339" s="2"/>
      <c r="N339" s="2"/>
      <c r="O339" s="2"/>
    </row>
    <row r="340" spans="1:15" x14ac:dyDescent="0.3">
      <c r="A340" s="1"/>
      <c r="B340" s="2"/>
      <c r="C340" s="2"/>
      <c r="D340" s="2"/>
      <c r="E340" s="2"/>
      <c r="F340" s="4"/>
      <c r="G340" s="2"/>
      <c r="H340" s="42"/>
      <c r="I340" s="42"/>
      <c r="J340" s="42"/>
      <c r="K340" s="42"/>
      <c r="L340" s="42"/>
      <c r="M340" s="2"/>
      <c r="N340" s="2"/>
      <c r="O340" s="2"/>
    </row>
    <row r="341" spans="1:15" x14ac:dyDescent="0.3">
      <c r="A341" s="1"/>
      <c r="B341" s="2"/>
      <c r="C341" s="2"/>
      <c r="D341" s="2"/>
      <c r="E341" s="2"/>
      <c r="F341" s="4"/>
      <c r="G341" s="2"/>
      <c r="H341" s="42"/>
      <c r="I341" s="42"/>
      <c r="J341" s="42"/>
      <c r="K341" s="42"/>
      <c r="L341" s="42"/>
      <c r="M341" s="2"/>
      <c r="N341" s="2"/>
      <c r="O341" s="2"/>
    </row>
    <row r="342" spans="1:15" x14ac:dyDescent="0.3">
      <c r="A342" s="1"/>
      <c r="B342" s="2"/>
      <c r="C342" s="2"/>
      <c r="D342" s="2"/>
      <c r="E342" s="2"/>
      <c r="F342" s="4"/>
      <c r="G342" s="2"/>
      <c r="H342" s="42"/>
      <c r="I342" s="42"/>
      <c r="J342" s="42"/>
      <c r="K342" s="42"/>
      <c r="L342" s="42"/>
      <c r="M342" s="2"/>
      <c r="N342" s="2"/>
      <c r="O342" s="2"/>
    </row>
    <row r="343" spans="1:15" x14ac:dyDescent="0.3">
      <c r="A343" s="1"/>
      <c r="B343" s="2"/>
      <c r="C343" s="2"/>
      <c r="D343" s="2"/>
      <c r="E343" s="2"/>
      <c r="F343" s="4"/>
      <c r="G343" s="2"/>
      <c r="H343" s="2"/>
      <c r="I343" s="2"/>
      <c r="J343" s="2"/>
      <c r="K343" s="2"/>
      <c r="L343" s="2"/>
      <c r="M343" s="2"/>
      <c r="N343" s="2"/>
      <c r="O343" s="2"/>
    </row>
    <row r="344" spans="1:15" x14ac:dyDescent="0.3">
      <c r="A344" s="1"/>
      <c r="B344" s="2"/>
      <c r="C344" s="2"/>
      <c r="D344" s="2"/>
      <c r="E344" s="2"/>
      <c r="F344" s="4"/>
      <c r="G344" s="2"/>
      <c r="H344" s="2"/>
      <c r="I344" s="2"/>
      <c r="J344" s="2"/>
      <c r="K344" s="2"/>
      <c r="L344" s="2"/>
      <c r="M344" s="2"/>
      <c r="N344" s="2"/>
      <c r="O344" s="2"/>
    </row>
    <row r="345" spans="1:15" x14ac:dyDescent="0.3">
      <c r="A345" s="1"/>
      <c r="B345" s="2"/>
      <c r="C345" s="2"/>
      <c r="D345" s="2"/>
      <c r="E345" s="2"/>
      <c r="F345" s="4"/>
      <c r="G345" s="2"/>
      <c r="H345" s="2"/>
      <c r="I345" s="2"/>
      <c r="J345" s="2"/>
      <c r="K345" s="2"/>
      <c r="L345" s="2"/>
      <c r="M345" s="2"/>
      <c r="N345" s="2"/>
      <c r="O345" s="2"/>
    </row>
    <row r="346" spans="1:15" x14ac:dyDescent="0.3">
      <c r="A346" s="1"/>
      <c r="B346" s="2"/>
      <c r="C346" s="2"/>
      <c r="D346" s="2"/>
      <c r="E346" s="2"/>
      <c r="F346" s="4"/>
      <c r="G346" s="2"/>
      <c r="H346" s="2"/>
      <c r="I346" s="2"/>
      <c r="J346" s="2"/>
      <c r="K346" s="2"/>
      <c r="L346" s="2"/>
      <c r="M346" s="2"/>
      <c r="N346" s="2"/>
      <c r="O346" s="2"/>
    </row>
    <row r="347" spans="1:15" x14ac:dyDescent="0.3">
      <c r="A347" s="1"/>
      <c r="B347" s="2"/>
      <c r="C347" s="2"/>
      <c r="D347" s="2"/>
      <c r="E347" s="2"/>
      <c r="F347" s="4"/>
      <c r="G347" s="2"/>
      <c r="H347" s="2"/>
      <c r="I347" s="2"/>
      <c r="J347" s="2"/>
      <c r="K347" s="2"/>
      <c r="L347" s="2"/>
      <c r="M347" s="2"/>
      <c r="N347" s="2"/>
      <c r="O347" s="2"/>
    </row>
    <row r="348" spans="1:15" x14ac:dyDescent="0.3">
      <c r="A348" s="1"/>
      <c r="B348" s="2"/>
      <c r="C348" s="2"/>
      <c r="D348" s="2"/>
      <c r="E348" s="2"/>
      <c r="F348" s="4"/>
      <c r="G348" s="2"/>
      <c r="H348" s="2"/>
      <c r="I348" s="2"/>
      <c r="J348" s="2"/>
      <c r="K348" s="2"/>
      <c r="L348" s="2"/>
      <c r="M348" s="2"/>
      <c r="N348" s="2"/>
      <c r="O348" s="2"/>
    </row>
    <row r="349" spans="1:15" x14ac:dyDescent="0.3">
      <c r="A349" s="1"/>
      <c r="B349" s="2"/>
      <c r="C349" s="2"/>
      <c r="D349" s="2"/>
      <c r="E349" s="2"/>
      <c r="F349" s="4"/>
      <c r="G349" s="2"/>
      <c r="H349" s="2"/>
      <c r="I349" s="2"/>
      <c r="J349" s="2"/>
      <c r="K349" s="2"/>
      <c r="L349" s="2"/>
      <c r="M349" s="2"/>
      <c r="N349" s="2"/>
      <c r="O349" s="2"/>
    </row>
    <row r="350" spans="1:15" x14ac:dyDescent="0.3">
      <c r="A350" s="1"/>
      <c r="B350" s="2"/>
      <c r="C350" s="2"/>
      <c r="D350" s="2"/>
      <c r="E350" s="2"/>
      <c r="F350" s="4"/>
      <c r="G350" s="2"/>
      <c r="H350" s="2"/>
      <c r="I350" s="2"/>
      <c r="J350" s="2"/>
      <c r="K350" s="2"/>
      <c r="L350" s="2"/>
      <c r="M350" s="2"/>
      <c r="N350" s="2"/>
      <c r="O350" s="2"/>
    </row>
    <row r="351" spans="1:15" x14ac:dyDescent="0.3">
      <c r="A351" s="1"/>
      <c r="B351" s="2"/>
      <c r="C351" s="2"/>
      <c r="D351" s="2"/>
      <c r="E351" s="2"/>
      <c r="F351" s="4"/>
      <c r="G351" s="2"/>
      <c r="H351" s="2"/>
      <c r="I351" s="2"/>
      <c r="J351" s="2"/>
      <c r="K351" s="2"/>
      <c r="L351" s="2"/>
      <c r="M351" s="2"/>
      <c r="N351" s="2"/>
      <c r="O351" s="2"/>
    </row>
    <row r="352" spans="1:15" x14ac:dyDescent="0.3">
      <c r="A352" s="1"/>
      <c r="B352" s="2"/>
      <c r="C352" s="2"/>
      <c r="D352" s="2"/>
      <c r="E352" s="2"/>
      <c r="F352" s="4"/>
      <c r="G352" s="2"/>
      <c r="H352" s="2"/>
      <c r="I352" s="2"/>
      <c r="J352" s="2"/>
      <c r="K352" s="2"/>
      <c r="L352" s="2"/>
      <c r="M352" s="2"/>
      <c r="N352" s="2"/>
      <c r="O352" s="2"/>
    </row>
    <row r="353" spans="1:15" x14ac:dyDescent="0.3">
      <c r="A353" s="1"/>
      <c r="B353" s="2"/>
      <c r="C353" s="2"/>
      <c r="D353" s="2"/>
      <c r="E353" s="2"/>
      <c r="F353" s="4"/>
      <c r="G353" s="2"/>
      <c r="H353" s="2"/>
      <c r="I353" s="2"/>
      <c r="J353" s="2"/>
      <c r="K353" s="2"/>
      <c r="L353" s="2"/>
      <c r="M353" s="2"/>
      <c r="N353" s="2"/>
      <c r="O353" s="2"/>
    </row>
    <row r="354" spans="1:15" x14ac:dyDescent="0.3">
      <c r="A354" s="1"/>
      <c r="B354" s="2"/>
      <c r="C354" s="2"/>
      <c r="D354" s="2"/>
      <c r="E354" s="2"/>
      <c r="F354" s="4"/>
      <c r="G354" s="2"/>
      <c r="H354" s="2"/>
      <c r="I354" s="2"/>
      <c r="J354" s="2"/>
      <c r="K354" s="2"/>
      <c r="L354" s="2"/>
      <c r="M354" s="2"/>
      <c r="N354" s="2"/>
      <c r="O354" s="2"/>
    </row>
    <row r="355" spans="1:15" x14ac:dyDescent="0.3">
      <c r="A355" s="1"/>
      <c r="B355" s="2"/>
      <c r="C355" s="2"/>
      <c r="D355" s="2"/>
      <c r="E355" s="2"/>
      <c r="F355" s="4"/>
      <c r="G355" s="2"/>
      <c r="H355" s="2"/>
      <c r="I355" s="2"/>
      <c r="J355" s="2"/>
      <c r="K355" s="2"/>
      <c r="L355" s="2"/>
      <c r="M355" s="2"/>
      <c r="N355" s="2"/>
      <c r="O355" s="2"/>
    </row>
    <row r="356" spans="1:15" x14ac:dyDescent="0.3">
      <c r="A356" s="1"/>
      <c r="B356" s="2"/>
      <c r="C356" s="2"/>
      <c r="D356" s="2"/>
      <c r="E356" s="2"/>
      <c r="F356" s="4"/>
      <c r="G356" s="2"/>
      <c r="H356" s="2"/>
      <c r="I356" s="2"/>
      <c r="J356" s="2"/>
      <c r="K356" s="2"/>
      <c r="L356" s="2"/>
      <c r="M356" s="2"/>
      <c r="N356" s="2"/>
      <c r="O356" s="2"/>
    </row>
    <row r="357" spans="1:15" x14ac:dyDescent="0.3">
      <c r="A357" s="1"/>
      <c r="B357" s="2"/>
      <c r="C357" s="2"/>
      <c r="D357" s="2"/>
      <c r="E357" s="2"/>
      <c r="F357" s="4"/>
      <c r="G357" s="2"/>
      <c r="H357" s="2"/>
      <c r="I357" s="2"/>
      <c r="J357" s="2"/>
      <c r="K357" s="2"/>
      <c r="L357" s="2"/>
      <c r="M357" s="2"/>
      <c r="N357" s="2"/>
      <c r="O357" s="2"/>
    </row>
    <row r="358" spans="1:15" x14ac:dyDescent="0.3">
      <c r="A358" s="1"/>
      <c r="B358" s="2"/>
      <c r="C358" s="2"/>
      <c r="D358" s="2"/>
      <c r="E358" s="2"/>
      <c r="F358" s="4"/>
      <c r="G358" s="2"/>
      <c r="H358" s="2"/>
      <c r="I358" s="2"/>
      <c r="J358" s="2"/>
      <c r="K358" s="2"/>
      <c r="L358" s="2"/>
      <c r="M358" s="2"/>
      <c r="N358" s="2"/>
      <c r="O358" s="2"/>
    </row>
    <row r="359" spans="1:15" x14ac:dyDescent="0.3">
      <c r="A359" s="1"/>
      <c r="B359" s="2"/>
      <c r="C359" s="2"/>
      <c r="D359" s="2"/>
      <c r="E359" s="2"/>
      <c r="F359" s="4"/>
      <c r="G359" s="2"/>
      <c r="H359" s="2"/>
      <c r="I359" s="2"/>
      <c r="J359" s="2"/>
      <c r="K359" s="2"/>
      <c r="L359" s="2"/>
      <c r="M359" s="2"/>
      <c r="N359" s="2"/>
      <c r="O359" s="2"/>
    </row>
    <row r="360" spans="1:15" x14ac:dyDescent="0.3">
      <c r="A360" s="1"/>
      <c r="B360" s="2"/>
      <c r="C360" s="2"/>
      <c r="D360" s="2"/>
      <c r="E360" s="2"/>
      <c r="F360" s="4"/>
      <c r="G360" s="2"/>
      <c r="H360" s="2"/>
      <c r="I360" s="2"/>
      <c r="J360" s="2"/>
      <c r="K360" s="2"/>
      <c r="L360" s="2"/>
      <c r="M360" s="2"/>
      <c r="N360" s="2"/>
      <c r="O360" s="2"/>
    </row>
    <row r="361" spans="1:15" x14ac:dyDescent="0.3">
      <c r="A361" s="1"/>
      <c r="B361" s="2"/>
      <c r="C361" s="2"/>
      <c r="D361" s="2"/>
      <c r="E361" s="2"/>
      <c r="F361" s="4"/>
      <c r="G361" s="2"/>
      <c r="H361" s="2"/>
      <c r="I361" s="2"/>
      <c r="J361" s="2"/>
      <c r="K361" s="2"/>
      <c r="L361" s="2"/>
      <c r="M361" s="2"/>
      <c r="N361" s="2"/>
      <c r="O361" s="2"/>
    </row>
    <row r="362" spans="1:15" x14ac:dyDescent="0.3">
      <c r="A362" s="1"/>
      <c r="B362" s="2"/>
      <c r="C362" s="2"/>
      <c r="D362" s="2"/>
      <c r="E362" s="2"/>
      <c r="F362" s="4"/>
      <c r="G362" s="2"/>
      <c r="H362" s="2"/>
      <c r="I362" s="2"/>
      <c r="J362" s="2"/>
      <c r="K362" s="2"/>
      <c r="L362" s="2"/>
      <c r="M362" s="2"/>
      <c r="N362" s="2"/>
      <c r="O362" s="2"/>
    </row>
    <row r="363" spans="1:15" x14ac:dyDescent="0.3">
      <c r="A363" s="1"/>
      <c r="B363" s="2"/>
      <c r="C363" s="2"/>
      <c r="D363" s="2"/>
      <c r="E363" s="2"/>
      <c r="F363" s="4"/>
      <c r="G363" s="2"/>
      <c r="H363" s="2"/>
      <c r="I363" s="2"/>
      <c r="J363" s="2"/>
      <c r="K363" s="2"/>
      <c r="L363" s="2"/>
      <c r="M363" s="2"/>
      <c r="N363" s="2"/>
      <c r="O363" s="2"/>
    </row>
    <row r="364" spans="1:15" x14ac:dyDescent="0.3">
      <c r="A364" s="1"/>
      <c r="B364" s="2"/>
      <c r="C364" s="2"/>
      <c r="D364" s="2"/>
      <c r="E364" s="2"/>
      <c r="F364" s="4"/>
      <c r="G364" s="2"/>
      <c r="H364" s="2"/>
      <c r="I364" s="2"/>
      <c r="J364" s="2"/>
      <c r="K364" s="2"/>
      <c r="L364" s="2"/>
      <c r="M364" s="2"/>
      <c r="N364" s="2"/>
      <c r="O364" s="2"/>
    </row>
    <row r="365" spans="1:15" x14ac:dyDescent="0.3">
      <c r="A365" s="1"/>
      <c r="B365" s="2"/>
      <c r="C365" s="2"/>
      <c r="D365" s="2"/>
      <c r="E365" s="2"/>
      <c r="F365" s="4"/>
      <c r="G365" s="2"/>
      <c r="H365" s="2"/>
      <c r="I365" s="2"/>
      <c r="J365" s="2"/>
      <c r="K365" s="2"/>
      <c r="L365" s="2"/>
      <c r="M365" s="2"/>
      <c r="N365" s="2"/>
      <c r="O365" s="2"/>
    </row>
    <row r="366" spans="1:15" x14ac:dyDescent="0.3">
      <c r="A366" s="1"/>
      <c r="B366" s="2"/>
      <c r="C366" s="2"/>
      <c r="D366" s="2"/>
      <c r="E366" s="2"/>
      <c r="F366" s="4"/>
      <c r="G366" s="2"/>
      <c r="H366" s="2"/>
      <c r="I366" s="2"/>
      <c r="J366" s="2"/>
      <c r="K366" s="2"/>
      <c r="L366" s="2"/>
      <c r="M366" s="2"/>
      <c r="N366" s="2"/>
      <c r="O366" s="2"/>
    </row>
    <row r="367" spans="1:15" x14ac:dyDescent="0.3">
      <c r="A367" s="1"/>
      <c r="B367" s="2"/>
      <c r="C367" s="2"/>
      <c r="D367" s="2"/>
      <c r="E367" s="2"/>
      <c r="F367" s="4"/>
      <c r="G367" s="2"/>
      <c r="H367" s="2"/>
      <c r="I367" s="2"/>
      <c r="J367" s="2"/>
      <c r="K367" s="2"/>
      <c r="L367" s="2"/>
      <c r="M367" s="2"/>
      <c r="N367" s="2"/>
      <c r="O367" s="2"/>
    </row>
    <row r="368" spans="1:15" x14ac:dyDescent="0.3">
      <c r="A368" s="1"/>
      <c r="B368" s="2"/>
      <c r="C368" s="2"/>
      <c r="D368" s="2"/>
      <c r="E368" s="2"/>
      <c r="F368" s="4"/>
      <c r="G368" s="2"/>
      <c r="H368" s="2"/>
      <c r="I368" s="2"/>
      <c r="J368" s="2"/>
      <c r="K368" s="2"/>
      <c r="L368" s="2"/>
      <c r="M368" s="2"/>
      <c r="N368" s="2"/>
      <c r="O368" s="2"/>
    </row>
    <row r="369" spans="1:15" x14ac:dyDescent="0.3">
      <c r="A369" s="1"/>
      <c r="B369" s="2"/>
      <c r="C369" s="2"/>
      <c r="D369" s="2"/>
      <c r="E369" s="2"/>
      <c r="F369" s="4"/>
      <c r="G369" s="2"/>
      <c r="H369" s="2"/>
      <c r="I369" s="2"/>
      <c r="J369" s="2"/>
      <c r="K369" s="2"/>
      <c r="L369" s="2"/>
      <c r="M369" s="2"/>
      <c r="N369" s="2"/>
      <c r="O369" s="2"/>
    </row>
    <row r="370" spans="1:15" x14ac:dyDescent="0.3">
      <c r="A370" s="1"/>
      <c r="B370" s="2"/>
      <c r="C370" s="2"/>
      <c r="D370" s="2"/>
      <c r="E370" s="2"/>
      <c r="F370" s="4"/>
      <c r="G370" s="2"/>
      <c r="H370" s="2"/>
      <c r="I370" s="2"/>
      <c r="J370" s="2"/>
      <c r="K370" s="2"/>
      <c r="L370" s="2"/>
      <c r="M370" s="2"/>
      <c r="N370" s="2"/>
      <c r="O370" s="2"/>
    </row>
    <row r="371" spans="1:15" x14ac:dyDescent="0.3">
      <c r="A371" s="1"/>
      <c r="B371" s="2"/>
      <c r="C371" s="2"/>
      <c r="D371" s="2"/>
      <c r="E371" s="2"/>
      <c r="F371" s="4"/>
      <c r="G371" s="2"/>
      <c r="H371" s="2"/>
      <c r="I371" s="2"/>
      <c r="J371" s="2"/>
      <c r="K371" s="2"/>
      <c r="L371" s="2"/>
      <c r="M371" s="2"/>
      <c r="N371" s="2"/>
      <c r="O371" s="2"/>
    </row>
    <row r="372" spans="1:15" x14ac:dyDescent="0.3">
      <c r="A372" s="1"/>
      <c r="B372" s="2"/>
      <c r="C372" s="2"/>
      <c r="D372" s="2"/>
      <c r="E372" s="2"/>
      <c r="F372" s="4"/>
      <c r="G372" s="2"/>
      <c r="H372" s="2"/>
      <c r="I372" s="2"/>
      <c r="J372" s="2"/>
      <c r="K372" s="2"/>
      <c r="L372" s="2"/>
      <c r="M372" s="2"/>
      <c r="N372" s="2"/>
      <c r="O372" s="2"/>
    </row>
    <row r="373" spans="1:15" x14ac:dyDescent="0.3">
      <c r="A373" s="1"/>
      <c r="B373" s="2"/>
      <c r="C373" s="2"/>
      <c r="D373" s="2"/>
      <c r="E373" s="2"/>
      <c r="F373" s="4"/>
      <c r="G373" s="2"/>
      <c r="H373" s="2"/>
      <c r="I373" s="2"/>
      <c r="J373" s="2"/>
      <c r="K373" s="2"/>
      <c r="L373" s="2"/>
      <c r="M373" s="2"/>
      <c r="N373" s="2"/>
      <c r="O373" s="2"/>
    </row>
    <row r="374" spans="1:15" x14ac:dyDescent="0.3">
      <c r="A374" s="1"/>
      <c r="B374" s="2"/>
      <c r="C374" s="2"/>
      <c r="D374" s="2"/>
      <c r="E374" s="2"/>
      <c r="F374" s="4"/>
      <c r="G374" s="2"/>
      <c r="H374" s="2"/>
      <c r="I374" s="2"/>
      <c r="J374" s="2"/>
      <c r="K374" s="2"/>
      <c r="L374" s="2"/>
      <c r="M374" s="2"/>
      <c r="N374" s="2"/>
      <c r="O374" s="2"/>
    </row>
    <row r="375" spans="1:15" x14ac:dyDescent="0.3">
      <c r="A375" s="1"/>
      <c r="B375" s="2"/>
      <c r="C375" s="2"/>
      <c r="D375" s="2"/>
      <c r="E375" s="2"/>
      <c r="F375" s="4"/>
      <c r="G375" s="2"/>
      <c r="H375" s="2"/>
      <c r="I375" s="2"/>
      <c r="J375" s="2"/>
      <c r="K375" s="2"/>
      <c r="L375" s="2"/>
      <c r="M375" s="2"/>
      <c r="N375" s="2"/>
      <c r="O375" s="2"/>
    </row>
    <row r="376" spans="1:15" x14ac:dyDescent="0.3">
      <c r="A376" s="1"/>
      <c r="B376" s="2"/>
      <c r="C376" s="2"/>
      <c r="D376" s="2"/>
      <c r="E376" s="2"/>
      <c r="F376" s="4"/>
      <c r="G376" s="2"/>
      <c r="H376" s="2"/>
      <c r="I376" s="2"/>
      <c r="J376" s="2"/>
      <c r="K376" s="2"/>
      <c r="L376" s="2"/>
      <c r="M376" s="2"/>
      <c r="N376" s="2"/>
      <c r="O376" s="2"/>
    </row>
    <row r="377" spans="1:15" x14ac:dyDescent="0.3">
      <c r="A377" s="1"/>
      <c r="B377" s="2"/>
      <c r="C377" s="2"/>
      <c r="D377" s="2"/>
      <c r="E377" s="2"/>
      <c r="F377" s="4"/>
      <c r="G377" s="2"/>
      <c r="H377" s="2"/>
      <c r="I377" s="2"/>
      <c r="J377" s="2"/>
      <c r="K377" s="2"/>
      <c r="L377" s="2"/>
      <c r="M377" s="2"/>
      <c r="N377" s="2"/>
      <c r="O377" s="2"/>
    </row>
    <row r="378" spans="1:15" x14ac:dyDescent="0.3">
      <c r="A378" s="1"/>
      <c r="B378" s="2"/>
      <c r="C378" s="2"/>
      <c r="D378" s="2"/>
      <c r="E378" s="2"/>
      <c r="F378" s="4"/>
      <c r="G378" s="2"/>
      <c r="H378" s="2"/>
      <c r="I378" s="2"/>
      <c r="J378" s="2"/>
      <c r="K378" s="2"/>
      <c r="L378" s="2"/>
      <c r="M378" s="2"/>
      <c r="N378" s="2"/>
      <c r="O378" s="2"/>
    </row>
    <row r="379" spans="1:15" x14ac:dyDescent="0.3">
      <c r="A379" s="1"/>
      <c r="B379" s="2"/>
      <c r="C379" s="2"/>
      <c r="D379" s="2"/>
      <c r="E379" s="2"/>
      <c r="F379" s="4"/>
      <c r="G379" s="2"/>
      <c r="H379" s="2"/>
      <c r="I379" s="2"/>
      <c r="J379" s="2"/>
      <c r="K379" s="2"/>
      <c r="L379" s="2"/>
      <c r="M379" s="2"/>
      <c r="N379" s="2"/>
      <c r="O379" s="2"/>
    </row>
    <row r="380" spans="1:15" x14ac:dyDescent="0.3">
      <c r="A380" s="1"/>
      <c r="B380" s="2"/>
      <c r="C380" s="2"/>
      <c r="D380" s="2"/>
      <c r="E380" s="2"/>
      <c r="F380" s="4"/>
      <c r="G380" s="2"/>
      <c r="H380" s="2"/>
      <c r="I380" s="2"/>
      <c r="J380" s="2"/>
      <c r="K380" s="2"/>
      <c r="L380" s="2"/>
      <c r="M380" s="2"/>
      <c r="N380" s="2"/>
      <c r="O380" s="2"/>
    </row>
    <row r="381" spans="1:15" x14ac:dyDescent="0.3">
      <c r="A381" s="1"/>
      <c r="B381" s="2"/>
      <c r="C381" s="2"/>
      <c r="D381" s="2"/>
      <c r="E381" s="2"/>
      <c r="F381" s="4"/>
      <c r="G381" s="2"/>
      <c r="H381" s="2"/>
      <c r="I381" s="2"/>
      <c r="J381" s="2"/>
      <c r="K381" s="2"/>
      <c r="L381" s="2"/>
      <c r="M381" s="2"/>
      <c r="N381" s="2"/>
      <c r="O381" s="2"/>
    </row>
    <row r="382" spans="1:15" x14ac:dyDescent="0.3">
      <c r="A382" s="1"/>
      <c r="B382" s="2"/>
      <c r="C382" s="2"/>
      <c r="D382" s="2"/>
      <c r="E382" s="2"/>
      <c r="F382" s="4"/>
      <c r="G382" s="2"/>
      <c r="H382" s="2"/>
      <c r="I382" s="2"/>
      <c r="J382" s="2"/>
      <c r="K382" s="2"/>
      <c r="L382" s="2"/>
      <c r="M382" s="2"/>
      <c r="N382" s="2"/>
      <c r="O382" s="2"/>
    </row>
    <row r="383" spans="1:15" x14ac:dyDescent="0.3">
      <c r="A383" s="1"/>
      <c r="B383" s="2"/>
      <c r="C383" s="2"/>
      <c r="D383" s="2"/>
      <c r="E383" s="2"/>
      <c r="F383" s="4"/>
      <c r="G383" s="2"/>
      <c r="H383" s="2"/>
      <c r="I383" s="2"/>
      <c r="J383" s="2"/>
      <c r="K383" s="2"/>
      <c r="L383" s="2"/>
      <c r="M383" s="2"/>
      <c r="N383" s="2"/>
      <c r="O383" s="2"/>
    </row>
    <row r="384" spans="1:15" x14ac:dyDescent="0.3">
      <c r="A384" s="1"/>
      <c r="B384" s="2"/>
      <c r="C384" s="2"/>
      <c r="D384" s="2"/>
      <c r="E384" s="2"/>
      <c r="F384" s="4"/>
      <c r="G384" s="2"/>
      <c r="H384" s="2"/>
      <c r="I384" s="2"/>
      <c r="J384" s="2"/>
      <c r="K384" s="2"/>
      <c r="L384" s="2"/>
      <c r="M384" s="2"/>
      <c r="N384" s="2"/>
      <c r="O384" s="2"/>
    </row>
    <row r="385" spans="1:15" x14ac:dyDescent="0.3">
      <c r="A385" s="1"/>
      <c r="B385" s="2"/>
      <c r="C385" s="2"/>
      <c r="D385" s="2"/>
      <c r="E385" s="2"/>
      <c r="F385" s="4"/>
      <c r="G385" s="2"/>
      <c r="H385" s="2"/>
      <c r="I385" s="2"/>
      <c r="J385" s="2"/>
      <c r="K385" s="2"/>
      <c r="L385" s="2"/>
      <c r="M385" s="2"/>
      <c r="N385" s="2"/>
      <c r="O385" s="2"/>
    </row>
    <row r="386" spans="1:15" x14ac:dyDescent="0.3">
      <c r="A386" s="1"/>
      <c r="B386" s="2"/>
      <c r="C386" s="2"/>
      <c r="D386" s="2"/>
      <c r="E386" s="2"/>
      <c r="F386" s="4"/>
      <c r="G386" s="2"/>
      <c r="H386" s="2"/>
      <c r="I386" s="2"/>
      <c r="J386" s="2"/>
      <c r="K386" s="2"/>
      <c r="L386" s="2"/>
      <c r="M386" s="2"/>
      <c r="N386" s="2"/>
      <c r="O386" s="2"/>
    </row>
    <row r="387" spans="1:15" x14ac:dyDescent="0.3">
      <c r="A387" s="1"/>
      <c r="B387" s="2"/>
      <c r="C387" s="2"/>
      <c r="D387" s="2"/>
      <c r="E387" s="2"/>
      <c r="F387" s="4"/>
      <c r="G387" s="2"/>
      <c r="H387" s="2"/>
      <c r="I387" s="2"/>
      <c r="J387" s="2"/>
      <c r="K387" s="2"/>
      <c r="L387" s="2"/>
      <c r="M387" s="2"/>
      <c r="N387" s="2"/>
      <c r="O387" s="2"/>
    </row>
    <row r="388" spans="1:15" x14ac:dyDescent="0.3">
      <c r="A388" s="1"/>
      <c r="B388" s="2"/>
      <c r="C388" s="2"/>
      <c r="D388" s="2"/>
      <c r="E388" s="2"/>
      <c r="F388" s="4"/>
      <c r="G388" s="2"/>
      <c r="H388" s="2"/>
      <c r="I388" s="2"/>
      <c r="J388" s="2"/>
      <c r="K388" s="2"/>
      <c r="L388" s="2"/>
      <c r="M388" s="2"/>
      <c r="N388" s="2"/>
      <c r="O388" s="2"/>
    </row>
    <row r="389" spans="1:15" x14ac:dyDescent="0.3">
      <c r="A389" s="1"/>
      <c r="B389" s="2"/>
      <c r="C389" s="2"/>
      <c r="D389" s="2"/>
      <c r="E389" s="2"/>
      <c r="F389" s="4"/>
      <c r="G389" s="2"/>
      <c r="H389" s="2"/>
      <c r="I389" s="2"/>
      <c r="J389" s="2"/>
      <c r="K389" s="2"/>
      <c r="L389" s="2"/>
      <c r="M389" s="2"/>
      <c r="N389" s="2"/>
      <c r="O389" s="2"/>
    </row>
    <row r="390" spans="1:15" x14ac:dyDescent="0.3">
      <c r="A390" s="1"/>
      <c r="B390" s="2"/>
      <c r="C390" s="2"/>
      <c r="D390" s="2"/>
      <c r="E390" s="2"/>
      <c r="F390" s="4"/>
      <c r="G390" s="2"/>
      <c r="H390" s="2"/>
      <c r="I390" s="2"/>
      <c r="J390" s="2"/>
      <c r="K390" s="2"/>
      <c r="L390" s="2"/>
      <c r="M390" s="2"/>
      <c r="N390" s="2"/>
      <c r="O390" s="2"/>
    </row>
    <row r="391" spans="1:15" x14ac:dyDescent="0.3">
      <c r="A391" s="1"/>
      <c r="B391" s="2"/>
      <c r="C391" s="2"/>
      <c r="D391" s="2"/>
      <c r="E391" s="2"/>
      <c r="F391" s="4"/>
      <c r="G391" s="2"/>
      <c r="H391" s="2"/>
      <c r="I391" s="2"/>
      <c r="J391" s="2"/>
      <c r="K391" s="2"/>
      <c r="L391" s="2"/>
      <c r="M391" s="2"/>
      <c r="N391" s="2"/>
      <c r="O391" s="2"/>
    </row>
    <row r="392" spans="1:15" x14ac:dyDescent="0.3">
      <c r="A392" s="1"/>
      <c r="B392" s="2"/>
      <c r="C392" s="2"/>
      <c r="D392" s="2"/>
      <c r="E392" s="2"/>
      <c r="F392" s="4"/>
      <c r="G392" s="2"/>
      <c r="H392" s="2"/>
      <c r="I392" s="2"/>
      <c r="J392" s="2"/>
      <c r="K392" s="2"/>
      <c r="L392" s="2"/>
      <c r="M392" s="2"/>
      <c r="N392" s="2"/>
      <c r="O392" s="2"/>
    </row>
    <row r="393" spans="1:15" x14ac:dyDescent="0.3">
      <c r="A393" s="1"/>
      <c r="B393" s="2"/>
      <c r="C393" s="2"/>
      <c r="D393" s="2"/>
      <c r="E393" s="2"/>
      <c r="F393" s="4"/>
      <c r="G393" s="2"/>
      <c r="H393" s="2"/>
      <c r="I393" s="2"/>
      <c r="J393" s="2"/>
      <c r="K393" s="2"/>
      <c r="L393" s="2"/>
      <c r="M393" s="2"/>
      <c r="N393" s="2"/>
      <c r="O393" s="2"/>
    </row>
    <row r="394" spans="1:15" x14ac:dyDescent="0.3">
      <c r="A394" s="1"/>
      <c r="B394" s="2"/>
      <c r="C394" s="2"/>
      <c r="D394" s="2"/>
      <c r="E394" s="2"/>
      <c r="F394" s="4"/>
      <c r="G394" s="2"/>
      <c r="H394" s="2"/>
      <c r="I394" s="2"/>
      <c r="J394" s="2"/>
      <c r="K394" s="2"/>
      <c r="L394" s="2"/>
      <c r="M394" s="2"/>
      <c r="N394" s="2"/>
      <c r="O394" s="2"/>
    </row>
    <row r="395" spans="1:15" x14ac:dyDescent="0.3">
      <c r="A395" s="1"/>
      <c r="B395" s="2"/>
      <c r="C395" s="2"/>
      <c r="D395" s="2"/>
      <c r="E395" s="2"/>
      <c r="F395" s="4"/>
      <c r="G395" s="2"/>
      <c r="H395" s="2"/>
      <c r="I395" s="2"/>
      <c r="J395" s="2"/>
      <c r="K395" s="2"/>
      <c r="L395" s="2"/>
      <c r="M395" s="2"/>
      <c r="N395" s="2"/>
      <c r="O395" s="2"/>
    </row>
    <row r="396" spans="1:15" x14ac:dyDescent="0.3">
      <c r="A396" s="1"/>
      <c r="B396" s="2"/>
      <c r="C396" s="2"/>
      <c r="D396" s="2"/>
      <c r="E396" s="2"/>
      <c r="F396" s="4"/>
      <c r="G396" s="2"/>
      <c r="H396" s="2"/>
      <c r="I396" s="2"/>
      <c r="J396" s="2"/>
      <c r="K396" s="2"/>
      <c r="L396" s="2"/>
      <c r="M396" s="2"/>
      <c r="N396" s="2"/>
      <c r="O396" s="2"/>
    </row>
    <row r="397" spans="1:15" x14ac:dyDescent="0.3">
      <c r="A397" s="1"/>
      <c r="B397" s="2"/>
      <c r="C397" s="2"/>
      <c r="D397" s="2"/>
      <c r="E397" s="2"/>
      <c r="F397" s="4"/>
      <c r="G397" s="2"/>
      <c r="H397" s="2"/>
      <c r="I397" s="2"/>
      <c r="J397" s="2"/>
      <c r="K397" s="2"/>
      <c r="L397" s="2"/>
      <c r="M397" s="2"/>
      <c r="N397" s="2"/>
      <c r="O397" s="2"/>
    </row>
    <row r="398" spans="1:15" x14ac:dyDescent="0.3">
      <c r="A398" s="1"/>
      <c r="B398" s="2"/>
      <c r="C398" s="2"/>
      <c r="D398" s="2"/>
      <c r="E398" s="2"/>
      <c r="F398" s="4"/>
      <c r="G398" s="2"/>
      <c r="H398" s="2"/>
      <c r="I398" s="2"/>
      <c r="J398" s="2"/>
      <c r="K398" s="2"/>
      <c r="L398" s="2"/>
      <c r="M398" s="2"/>
      <c r="N398" s="2"/>
      <c r="O398" s="2"/>
    </row>
    <row r="399" spans="1:15" x14ac:dyDescent="0.3">
      <c r="A399" s="1"/>
      <c r="B399" s="2"/>
      <c r="C399" s="2"/>
      <c r="D399" s="2"/>
      <c r="E399" s="2"/>
      <c r="F399" s="4"/>
      <c r="G399" s="2"/>
      <c r="H399" s="2"/>
      <c r="I399" s="2"/>
      <c r="J399" s="2"/>
      <c r="K399" s="2"/>
      <c r="L399" s="2"/>
      <c r="M399" s="2"/>
      <c r="N399" s="2"/>
      <c r="O399" s="2"/>
    </row>
    <row r="400" spans="1:15" x14ac:dyDescent="0.3">
      <c r="A400" s="1"/>
      <c r="B400" s="2"/>
      <c r="C400" s="2"/>
      <c r="D400" s="2"/>
      <c r="E400" s="2"/>
      <c r="F400" s="4"/>
      <c r="G400" s="2"/>
      <c r="H400" s="2"/>
      <c r="I400" s="2"/>
      <c r="J400" s="2"/>
      <c r="K400" s="2"/>
      <c r="L400" s="2"/>
      <c r="M400" s="2"/>
      <c r="N400" s="2"/>
      <c r="O400" s="2"/>
    </row>
    <row r="401" spans="1:15" x14ac:dyDescent="0.3">
      <c r="A401" s="1"/>
      <c r="B401" s="2"/>
      <c r="C401" s="2"/>
      <c r="D401" s="2"/>
      <c r="E401" s="2"/>
      <c r="F401" s="4"/>
      <c r="G401" s="2"/>
      <c r="H401" s="2"/>
      <c r="I401" s="2"/>
      <c r="J401" s="2"/>
      <c r="K401" s="2"/>
      <c r="L401" s="2"/>
      <c r="M401" s="2"/>
      <c r="N401" s="2"/>
      <c r="O401" s="2"/>
    </row>
    <row r="402" spans="1:15" x14ac:dyDescent="0.3">
      <c r="A402" s="1"/>
      <c r="B402" s="2"/>
      <c r="C402" s="2"/>
      <c r="D402" s="2"/>
      <c r="E402" s="2"/>
      <c r="F402" s="4"/>
      <c r="G402" s="2"/>
      <c r="H402" s="2"/>
      <c r="I402" s="2"/>
      <c r="J402" s="2"/>
      <c r="K402" s="2"/>
      <c r="L402" s="2"/>
      <c r="M402" s="2"/>
      <c r="N402" s="2"/>
      <c r="O402" s="2"/>
    </row>
    <row r="403" spans="1:15" x14ac:dyDescent="0.3">
      <c r="A403" s="1"/>
      <c r="B403" s="2"/>
      <c r="C403" s="2"/>
      <c r="D403" s="2"/>
      <c r="E403" s="2"/>
      <c r="F403" s="4"/>
      <c r="G403" s="2"/>
      <c r="H403" s="2"/>
      <c r="I403" s="2"/>
      <c r="J403" s="2"/>
      <c r="K403" s="2"/>
      <c r="L403" s="2"/>
      <c r="M403" s="2"/>
      <c r="N403" s="2"/>
      <c r="O403" s="2"/>
    </row>
    <row r="404" spans="1:15" x14ac:dyDescent="0.3">
      <c r="A404" s="1"/>
      <c r="B404" s="2"/>
      <c r="C404" s="2"/>
      <c r="D404" s="2"/>
      <c r="E404" s="2"/>
      <c r="F404" s="4"/>
      <c r="G404" s="2"/>
      <c r="H404" s="2"/>
      <c r="I404" s="2"/>
      <c r="J404" s="2"/>
      <c r="K404" s="2"/>
      <c r="L404" s="2"/>
      <c r="M404" s="2"/>
      <c r="N404" s="2"/>
      <c r="O404" s="2"/>
    </row>
    <row r="405" spans="1:15" x14ac:dyDescent="0.3">
      <c r="A405" s="1"/>
      <c r="B405" s="2"/>
      <c r="C405" s="2"/>
      <c r="D405" s="2"/>
      <c r="E405" s="2"/>
      <c r="F405" s="4"/>
      <c r="G405" s="2"/>
      <c r="H405" s="2"/>
      <c r="I405" s="2"/>
      <c r="J405" s="2"/>
      <c r="K405" s="2"/>
      <c r="L405" s="2"/>
      <c r="M405" s="2"/>
      <c r="N405" s="2"/>
      <c r="O405" s="2"/>
    </row>
    <row r="406" spans="1:15" x14ac:dyDescent="0.3">
      <c r="A406" s="1"/>
      <c r="B406" s="2"/>
      <c r="C406" s="2"/>
      <c r="D406" s="2"/>
      <c r="E406" s="2"/>
      <c r="F406" s="4"/>
      <c r="G406" s="2"/>
      <c r="H406" s="2"/>
      <c r="I406" s="2"/>
      <c r="J406" s="2"/>
      <c r="K406" s="2"/>
      <c r="L406" s="2"/>
      <c r="M406" s="2"/>
      <c r="N406" s="2"/>
      <c r="O406" s="2"/>
    </row>
    <row r="407" spans="1:15" x14ac:dyDescent="0.3">
      <c r="A407" s="1"/>
      <c r="B407" s="2"/>
      <c r="C407" s="2"/>
      <c r="D407" s="2"/>
      <c r="E407" s="2"/>
      <c r="F407" s="4"/>
      <c r="G407" s="2"/>
      <c r="H407" s="2"/>
      <c r="I407" s="2"/>
      <c r="J407" s="2"/>
      <c r="K407" s="2"/>
      <c r="L407" s="2"/>
      <c r="M407" s="2"/>
      <c r="N407" s="2"/>
      <c r="O407" s="2"/>
    </row>
    <row r="408" spans="1:15" x14ac:dyDescent="0.3">
      <c r="A408" s="1"/>
      <c r="B408" s="2"/>
      <c r="C408" s="2"/>
      <c r="D408" s="2"/>
      <c r="E408" s="2"/>
      <c r="F408" s="4"/>
      <c r="G408" s="2"/>
      <c r="H408" s="2"/>
      <c r="I408" s="2"/>
      <c r="J408" s="2"/>
      <c r="K408" s="2"/>
      <c r="L408" s="2"/>
      <c r="M408" s="2"/>
      <c r="N408" s="2"/>
      <c r="O408" s="2"/>
    </row>
    <row r="409" spans="1:15" x14ac:dyDescent="0.3">
      <c r="A409" s="1"/>
      <c r="B409" s="2"/>
      <c r="C409" s="2"/>
      <c r="D409" s="2"/>
      <c r="E409" s="2"/>
      <c r="F409" s="4"/>
      <c r="G409" s="2"/>
      <c r="H409" s="2"/>
      <c r="I409" s="2"/>
      <c r="J409" s="2"/>
      <c r="K409" s="2"/>
      <c r="L409" s="2"/>
      <c r="M409" s="2"/>
      <c r="N409" s="2"/>
      <c r="O409" s="2"/>
    </row>
    <row r="410" spans="1:15" x14ac:dyDescent="0.3">
      <c r="A410" s="1"/>
      <c r="B410" s="2"/>
      <c r="C410" s="2"/>
      <c r="D410" s="2"/>
      <c r="E410" s="2"/>
      <c r="F410" s="4"/>
      <c r="G410" s="2"/>
      <c r="H410" s="2"/>
      <c r="I410" s="2"/>
      <c r="J410" s="2"/>
      <c r="K410" s="2"/>
      <c r="L410" s="2"/>
      <c r="M410" s="2"/>
      <c r="N410" s="2"/>
      <c r="O410" s="2"/>
    </row>
    <row r="411" spans="1:15" x14ac:dyDescent="0.3">
      <c r="A411" s="1"/>
      <c r="B411" s="2"/>
      <c r="C411" s="2"/>
      <c r="D411" s="2"/>
      <c r="E411" s="2"/>
      <c r="F411" s="4"/>
      <c r="G411" s="2"/>
      <c r="H411" s="2"/>
      <c r="I411" s="2"/>
      <c r="J411" s="2"/>
      <c r="K411" s="2"/>
      <c r="L411" s="2"/>
      <c r="M411" s="2"/>
      <c r="N411" s="2"/>
      <c r="O411" s="2"/>
    </row>
    <row r="412" spans="1:15" x14ac:dyDescent="0.3">
      <c r="A412" s="1"/>
      <c r="B412" s="2"/>
      <c r="C412" s="2"/>
      <c r="D412" s="2"/>
      <c r="E412" s="2"/>
      <c r="F412" s="4"/>
      <c r="G412" s="2"/>
      <c r="H412" s="2"/>
      <c r="I412" s="2"/>
      <c r="J412" s="2"/>
      <c r="K412" s="2"/>
      <c r="L412" s="2"/>
      <c r="M412" s="2"/>
      <c r="N412" s="2"/>
      <c r="O412" s="2"/>
    </row>
    <row r="413" spans="1:15" x14ac:dyDescent="0.3">
      <c r="A413" s="1"/>
      <c r="B413" s="2"/>
      <c r="C413" s="2"/>
      <c r="D413" s="2"/>
      <c r="E413" s="2"/>
      <c r="F413" s="4"/>
      <c r="G413" s="2"/>
      <c r="H413" s="2"/>
      <c r="I413" s="2"/>
      <c r="J413" s="2"/>
      <c r="K413" s="2"/>
      <c r="L413" s="2"/>
      <c r="M413" s="2"/>
      <c r="N413" s="2"/>
      <c r="O413" s="2"/>
    </row>
    <row r="414" spans="1:15" x14ac:dyDescent="0.3">
      <c r="A414" s="1"/>
      <c r="B414" s="2"/>
      <c r="C414" s="2"/>
      <c r="D414" s="2"/>
      <c r="E414" s="2"/>
      <c r="F414" s="4"/>
      <c r="G414" s="2"/>
      <c r="H414" s="2"/>
      <c r="I414" s="2"/>
      <c r="J414" s="2"/>
      <c r="K414" s="2"/>
      <c r="L414" s="2"/>
      <c r="M414" s="2"/>
      <c r="N414" s="2"/>
      <c r="O414" s="2"/>
    </row>
    <row r="415" spans="1:15" x14ac:dyDescent="0.3">
      <c r="A415" s="1"/>
      <c r="B415" s="2"/>
      <c r="C415" s="2"/>
      <c r="D415" s="2"/>
      <c r="E415" s="2"/>
      <c r="F415" s="4"/>
      <c r="G415" s="2"/>
      <c r="H415" s="2"/>
      <c r="I415" s="2"/>
      <c r="J415" s="2"/>
      <c r="K415" s="2"/>
      <c r="L415" s="2"/>
      <c r="M415" s="2"/>
      <c r="N415" s="2"/>
      <c r="O415" s="2"/>
    </row>
    <row r="416" spans="1:15" x14ac:dyDescent="0.3">
      <c r="A416" s="1"/>
      <c r="B416" s="2"/>
      <c r="C416" s="2"/>
      <c r="D416" s="2"/>
      <c r="E416" s="2"/>
      <c r="F416" s="4"/>
      <c r="G416" s="2"/>
      <c r="H416" s="2"/>
      <c r="I416" s="2"/>
      <c r="J416" s="2"/>
      <c r="K416" s="2"/>
      <c r="L416" s="2"/>
      <c r="M416" s="2"/>
      <c r="N416" s="2"/>
      <c r="O416" s="2"/>
    </row>
    <row r="417" spans="1:15" x14ac:dyDescent="0.3">
      <c r="A417" s="1"/>
      <c r="B417" s="2"/>
      <c r="C417" s="2"/>
      <c r="D417" s="2"/>
      <c r="E417" s="2"/>
      <c r="F417" s="4"/>
      <c r="G417" s="2"/>
      <c r="H417" s="2"/>
      <c r="I417" s="2"/>
      <c r="J417" s="2"/>
      <c r="K417" s="2"/>
      <c r="L417" s="2"/>
      <c r="M417" s="2"/>
      <c r="N417" s="2"/>
      <c r="O417" s="2"/>
    </row>
    <row r="418" spans="1:15" x14ac:dyDescent="0.3">
      <c r="A418" s="1"/>
      <c r="B418" s="2"/>
      <c r="C418" s="2"/>
      <c r="D418" s="2"/>
      <c r="E418" s="2"/>
      <c r="F418" s="4"/>
      <c r="G418" s="2"/>
      <c r="H418" s="2"/>
      <c r="I418" s="2"/>
      <c r="J418" s="2"/>
      <c r="K418" s="2"/>
      <c r="L418" s="2"/>
      <c r="M418" s="2"/>
      <c r="N418" s="2"/>
      <c r="O418" s="2"/>
    </row>
    <row r="419" spans="1:15" x14ac:dyDescent="0.3">
      <c r="A419" s="1"/>
      <c r="B419" s="2"/>
      <c r="C419" s="2"/>
      <c r="D419" s="2"/>
      <c r="E419" s="2"/>
      <c r="F419" s="4"/>
      <c r="G419" s="2"/>
      <c r="H419" s="2"/>
      <c r="I419" s="2"/>
      <c r="J419" s="2"/>
      <c r="K419" s="2"/>
      <c r="L419" s="2"/>
      <c r="M419" s="2"/>
      <c r="N419" s="2"/>
      <c r="O419" s="2"/>
    </row>
    <row r="420" spans="1:15" x14ac:dyDescent="0.3">
      <c r="A420" s="1"/>
      <c r="B420" s="2"/>
      <c r="C420" s="2"/>
      <c r="D420" s="2"/>
      <c r="E420" s="2"/>
      <c r="F420" s="4"/>
      <c r="G420" s="2"/>
      <c r="H420" s="2"/>
      <c r="I420" s="2"/>
      <c r="J420" s="2"/>
      <c r="K420" s="2"/>
      <c r="L420" s="2"/>
      <c r="M420" s="2"/>
      <c r="N420" s="2"/>
      <c r="O420" s="2"/>
    </row>
    <row r="421" spans="1:15" x14ac:dyDescent="0.3">
      <c r="A421" s="1"/>
      <c r="B421" s="2"/>
      <c r="C421" s="2"/>
      <c r="D421" s="2"/>
      <c r="E421" s="2"/>
      <c r="F421" s="4"/>
      <c r="G421" s="2"/>
      <c r="H421" s="2"/>
      <c r="I421" s="2"/>
      <c r="J421" s="2"/>
      <c r="K421" s="2"/>
      <c r="L421" s="2"/>
      <c r="M421" s="2"/>
      <c r="N421" s="2"/>
      <c r="O421" s="2"/>
    </row>
    <row r="422" spans="1:15" x14ac:dyDescent="0.3">
      <c r="A422" s="1"/>
      <c r="B422" s="2"/>
      <c r="C422" s="2"/>
      <c r="D422" s="2"/>
      <c r="E422" s="2"/>
      <c r="F422" s="4"/>
      <c r="G422" s="2"/>
      <c r="H422" s="2"/>
      <c r="I422" s="2"/>
      <c r="J422" s="2"/>
      <c r="K422" s="2"/>
      <c r="L422" s="2"/>
      <c r="M422" s="2"/>
      <c r="N422" s="2"/>
      <c r="O422" s="2"/>
    </row>
    <row r="423" spans="1:15" x14ac:dyDescent="0.3">
      <c r="A423" s="1"/>
      <c r="B423" s="2"/>
      <c r="C423" s="2"/>
      <c r="D423" s="2"/>
      <c r="E423" s="2"/>
      <c r="F423" s="4"/>
      <c r="G423" s="2"/>
      <c r="H423" s="2"/>
      <c r="I423" s="2"/>
      <c r="J423" s="2"/>
      <c r="K423" s="2"/>
      <c r="L423" s="2"/>
      <c r="M423" s="2"/>
      <c r="N423" s="2"/>
      <c r="O423" s="2"/>
    </row>
    <row r="424" spans="1:15" x14ac:dyDescent="0.3">
      <c r="A424" s="1"/>
      <c r="B424" s="2"/>
      <c r="C424" s="2"/>
      <c r="D424" s="2"/>
      <c r="E424" s="2"/>
      <c r="F424" s="4"/>
      <c r="G424" s="2"/>
      <c r="H424" s="2"/>
      <c r="I424" s="2"/>
      <c r="J424" s="2"/>
      <c r="K424" s="2"/>
      <c r="L424" s="2"/>
      <c r="M424" s="2"/>
      <c r="N424" s="2"/>
      <c r="O424" s="2"/>
    </row>
    <row r="425" spans="1:15" x14ac:dyDescent="0.3">
      <c r="A425" s="1"/>
      <c r="B425" s="2"/>
      <c r="C425" s="2"/>
      <c r="D425" s="2"/>
      <c r="E425" s="2"/>
      <c r="F425" s="4"/>
      <c r="G425" s="2"/>
      <c r="H425" s="2"/>
      <c r="I425" s="2"/>
      <c r="J425" s="2"/>
      <c r="K425" s="2"/>
      <c r="L425" s="2"/>
      <c r="M425" s="2"/>
      <c r="N425" s="2"/>
      <c r="O425" s="2"/>
    </row>
    <row r="426" spans="1:15" x14ac:dyDescent="0.3">
      <c r="A426" s="1"/>
      <c r="B426" s="2"/>
      <c r="C426" s="2"/>
      <c r="D426" s="2"/>
      <c r="E426" s="2"/>
      <c r="F426" s="4"/>
      <c r="G426" s="2"/>
      <c r="H426" s="2"/>
      <c r="I426" s="2"/>
      <c r="J426" s="2"/>
      <c r="K426" s="2"/>
      <c r="L426" s="2"/>
      <c r="M426" s="2"/>
      <c r="N426" s="2"/>
      <c r="O426" s="2"/>
    </row>
    <row r="427" spans="1:15" x14ac:dyDescent="0.3">
      <c r="A427" s="1"/>
      <c r="B427" s="2"/>
      <c r="C427" s="2"/>
      <c r="D427" s="2"/>
      <c r="E427" s="2"/>
      <c r="F427" s="4"/>
      <c r="G427" s="2"/>
      <c r="H427" s="2"/>
      <c r="I427" s="2"/>
      <c r="J427" s="2"/>
      <c r="K427" s="2"/>
      <c r="L427" s="2"/>
      <c r="M427" s="2"/>
      <c r="N427" s="2"/>
      <c r="O427" s="2"/>
    </row>
    <row r="428" spans="1:15" x14ac:dyDescent="0.3">
      <c r="A428" s="1"/>
      <c r="B428" s="2"/>
      <c r="C428" s="2"/>
      <c r="D428" s="2"/>
      <c r="E428" s="2"/>
      <c r="F428" s="4"/>
      <c r="G428" s="2"/>
      <c r="H428" s="2"/>
      <c r="I428" s="2"/>
      <c r="J428" s="2"/>
      <c r="K428" s="2"/>
      <c r="L428" s="2"/>
      <c r="M428" s="2"/>
      <c r="N428" s="2"/>
      <c r="O428" s="2"/>
    </row>
    <row r="429" spans="1:15" x14ac:dyDescent="0.3">
      <c r="A429" s="1"/>
      <c r="B429" s="2"/>
      <c r="C429" s="2"/>
      <c r="D429" s="2"/>
      <c r="E429" s="2"/>
      <c r="F429" s="4"/>
      <c r="G429" s="2"/>
      <c r="H429" s="2"/>
      <c r="I429" s="2"/>
      <c r="J429" s="2"/>
      <c r="K429" s="2"/>
      <c r="L429" s="2"/>
      <c r="M429" s="2"/>
      <c r="N429" s="2"/>
      <c r="O429" s="2"/>
    </row>
    <row r="430" spans="1:15" x14ac:dyDescent="0.3">
      <c r="A430" s="1"/>
      <c r="B430" s="2"/>
      <c r="C430" s="2"/>
      <c r="D430" s="2"/>
      <c r="E430" s="2"/>
      <c r="F430" s="4"/>
      <c r="G430" s="2"/>
      <c r="H430" s="2"/>
      <c r="I430" s="2"/>
      <c r="J430" s="2"/>
      <c r="K430" s="2"/>
      <c r="L430" s="2"/>
      <c r="M430" s="2"/>
      <c r="N430" s="2"/>
      <c r="O430" s="2"/>
    </row>
    <row r="431" spans="1:15" x14ac:dyDescent="0.3">
      <c r="A431" s="1"/>
      <c r="B431" s="2"/>
      <c r="C431" s="2"/>
      <c r="D431" s="2"/>
      <c r="E431" s="2"/>
      <c r="F431" s="4"/>
      <c r="G431" s="2"/>
      <c r="H431" s="2"/>
      <c r="I431" s="2"/>
      <c r="J431" s="2"/>
      <c r="K431" s="2"/>
      <c r="L431" s="2"/>
      <c r="M431" s="2"/>
      <c r="N431" s="2"/>
      <c r="O431" s="2"/>
    </row>
    <row r="432" spans="1:15" x14ac:dyDescent="0.3">
      <c r="A432" s="1"/>
      <c r="B432" s="2"/>
      <c r="C432" s="2"/>
      <c r="D432" s="2"/>
      <c r="E432" s="2"/>
      <c r="F432" s="4"/>
      <c r="G432" s="2"/>
      <c r="H432" s="2"/>
      <c r="I432" s="2"/>
      <c r="J432" s="2"/>
      <c r="K432" s="2"/>
      <c r="L432" s="2"/>
      <c r="M432" s="2"/>
      <c r="N432" s="2"/>
      <c r="O432" s="2"/>
    </row>
    <row r="433" spans="1:15" x14ac:dyDescent="0.3">
      <c r="A433" s="1"/>
      <c r="B433" s="2"/>
      <c r="C433" s="2"/>
      <c r="D433" s="2"/>
      <c r="E433" s="2"/>
      <c r="F433" s="4"/>
      <c r="G433" s="2"/>
      <c r="H433" s="2"/>
      <c r="I433" s="2"/>
      <c r="J433" s="2"/>
      <c r="K433" s="2"/>
      <c r="L433" s="2"/>
      <c r="M433" s="2"/>
      <c r="N433" s="2"/>
      <c r="O433" s="2"/>
    </row>
    <row r="434" spans="1:15" x14ac:dyDescent="0.3">
      <c r="A434" s="1"/>
      <c r="B434" s="2"/>
      <c r="C434" s="2"/>
      <c r="D434" s="2"/>
      <c r="E434" s="2"/>
      <c r="F434" s="4"/>
      <c r="G434" s="2"/>
      <c r="H434" s="2"/>
      <c r="I434" s="2"/>
      <c r="J434" s="2"/>
      <c r="K434" s="2"/>
      <c r="L434" s="2"/>
      <c r="M434" s="2"/>
      <c r="N434" s="2"/>
      <c r="O434" s="2"/>
    </row>
    <row r="435" spans="1:15" x14ac:dyDescent="0.3">
      <c r="A435" s="1"/>
      <c r="B435" s="2"/>
      <c r="C435" s="2"/>
      <c r="D435" s="2"/>
      <c r="E435" s="2"/>
      <c r="F435" s="4"/>
      <c r="G435" s="2"/>
      <c r="H435" s="2"/>
      <c r="I435" s="2"/>
      <c r="J435" s="2"/>
      <c r="K435" s="2"/>
      <c r="L435" s="2"/>
      <c r="M435" s="2"/>
      <c r="N435" s="2"/>
      <c r="O435" s="2"/>
    </row>
    <row r="436" spans="1:15" x14ac:dyDescent="0.3">
      <c r="A436" s="1"/>
      <c r="B436" s="2"/>
      <c r="C436" s="2"/>
      <c r="D436" s="2"/>
      <c r="E436" s="2"/>
      <c r="F436" s="4"/>
      <c r="G436" s="2"/>
      <c r="H436" s="2"/>
      <c r="I436" s="2"/>
      <c r="J436" s="2"/>
      <c r="K436" s="2"/>
      <c r="L436" s="2"/>
      <c r="M436" s="2"/>
      <c r="N436" s="2"/>
      <c r="O436" s="2"/>
    </row>
    <row r="437" spans="1:15" x14ac:dyDescent="0.3">
      <c r="A437" s="1"/>
      <c r="B437" s="2"/>
      <c r="C437" s="2"/>
      <c r="D437" s="2"/>
      <c r="E437" s="2"/>
      <c r="F437" s="4"/>
      <c r="G437" s="2"/>
      <c r="H437" s="2"/>
      <c r="I437" s="2"/>
      <c r="J437" s="2"/>
      <c r="K437" s="2"/>
      <c r="L437" s="2"/>
      <c r="M437" s="2"/>
      <c r="N437" s="2"/>
      <c r="O437" s="2"/>
    </row>
    <row r="438" spans="1:15" x14ac:dyDescent="0.3">
      <c r="A438" s="1"/>
      <c r="B438" s="2"/>
      <c r="C438" s="2"/>
      <c r="D438" s="2"/>
      <c r="E438" s="2"/>
      <c r="F438" s="4"/>
      <c r="G438" s="2"/>
      <c r="H438" s="2"/>
      <c r="I438" s="2"/>
      <c r="J438" s="2"/>
      <c r="K438" s="2"/>
      <c r="L438" s="2"/>
      <c r="M438" s="2"/>
      <c r="N438" s="2"/>
      <c r="O438" s="2"/>
    </row>
    <row r="439" spans="1:15" x14ac:dyDescent="0.3">
      <c r="A439" s="1"/>
      <c r="B439" s="2"/>
      <c r="C439" s="2"/>
      <c r="D439" s="2"/>
      <c r="E439" s="2"/>
      <c r="F439" s="4"/>
      <c r="G439" s="2"/>
      <c r="H439" s="2"/>
      <c r="I439" s="2"/>
      <c r="J439" s="2"/>
      <c r="K439" s="2"/>
      <c r="L439" s="2"/>
      <c r="M439" s="2"/>
      <c r="N439" s="2"/>
      <c r="O439" s="2"/>
    </row>
    <row r="440" spans="1:15" x14ac:dyDescent="0.3">
      <c r="A440" s="1"/>
      <c r="B440" s="2"/>
      <c r="C440" s="2"/>
      <c r="D440" s="2"/>
      <c r="E440" s="2"/>
      <c r="F440" s="4"/>
      <c r="G440" s="2"/>
      <c r="H440" s="2"/>
      <c r="I440" s="2"/>
      <c r="J440" s="2"/>
      <c r="K440" s="2"/>
      <c r="L440" s="2"/>
      <c r="M440" s="2"/>
      <c r="N440" s="2"/>
      <c r="O440" s="2"/>
    </row>
    <row r="441" spans="1:15" x14ac:dyDescent="0.3">
      <c r="A441" s="1"/>
      <c r="B441" s="2"/>
      <c r="C441" s="2"/>
      <c r="D441" s="2"/>
      <c r="E441" s="2"/>
      <c r="F441" s="4"/>
      <c r="G441" s="2"/>
      <c r="H441" s="2"/>
      <c r="I441" s="2"/>
      <c r="J441" s="2"/>
      <c r="K441" s="2"/>
      <c r="L441" s="2"/>
      <c r="M441" s="2"/>
      <c r="N441" s="2"/>
      <c r="O441" s="2"/>
    </row>
    <row r="442" spans="1:15" x14ac:dyDescent="0.3">
      <c r="A442" s="1"/>
      <c r="B442" s="2"/>
      <c r="C442" s="2"/>
      <c r="D442" s="2"/>
      <c r="E442" s="2"/>
      <c r="F442" s="4"/>
      <c r="G442" s="2"/>
      <c r="H442" s="2"/>
      <c r="I442" s="2"/>
      <c r="J442" s="2"/>
      <c r="K442" s="2"/>
      <c r="L442" s="2"/>
      <c r="M442" s="2"/>
      <c r="N442" s="2"/>
      <c r="O442" s="2"/>
    </row>
    <row r="443" spans="1:15" x14ac:dyDescent="0.3">
      <c r="A443" s="1"/>
      <c r="B443" s="2"/>
      <c r="C443" s="2"/>
      <c r="D443" s="2"/>
      <c r="E443" s="2"/>
      <c r="F443" s="4"/>
      <c r="G443" s="2"/>
      <c r="H443" s="2"/>
      <c r="I443" s="2"/>
      <c r="J443" s="2"/>
      <c r="K443" s="2"/>
      <c r="L443" s="2"/>
      <c r="M443" s="2"/>
      <c r="N443" s="2"/>
      <c r="O443" s="2"/>
    </row>
    <row r="444" spans="1:15" x14ac:dyDescent="0.3">
      <c r="A444" s="1"/>
      <c r="B444" s="2"/>
      <c r="C444" s="2"/>
      <c r="D444" s="2"/>
      <c r="E444" s="2"/>
      <c r="F444" s="4"/>
      <c r="G444" s="2"/>
      <c r="H444" s="2"/>
      <c r="I444" s="2"/>
      <c r="J444" s="2"/>
      <c r="K444" s="2"/>
      <c r="L444" s="2"/>
      <c r="M444" s="2"/>
      <c r="N444" s="2"/>
      <c r="O444" s="2"/>
    </row>
    <row r="445" spans="1:15" x14ac:dyDescent="0.3">
      <c r="A445" s="1"/>
      <c r="B445" s="2"/>
      <c r="C445" s="2"/>
      <c r="D445" s="2"/>
      <c r="E445" s="2"/>
      <c r="F445" s="4"/>
      <c r="G445" s="2"/>
      <c r="H445" s="2"/>
      <c r="I445" s="2"/>
      <c r="J445" s="2"/>
      <c r="K445" s="2"/>
      <c r="L445" s="2"/>
      <c r="M445" s="2"/>
      <c r="N445" s="2"/>
      <c r="O445" s="2"/>
    </row>
    <row r="446" spans="1:15" x14ac:dyDescent="0.3">
      <c r="A446" s="1"/>
      <c r="B446" s="2"/>
      <c r="C446" s="2"/>
      <c r="D446" s="2"/>
      <c r="E446" s="2"/>
      <c r="F446" s="4"/>
      <c r="G446" s="2"/>
      <c r="H446" s="2"/>
      <c r="I446" s="2"/>
      <c r="J446" s="2"/>
      <c r="K446" s="2"/>
      <c r="L446" s="2"/>
      <c r="M446" s="2"/>
      <c r="N446" s="2"/>
      <c r="O446" s="2"/>
    </row>
    <row r="447" spans="1:15" x14ac:dyDescent="0.3">
      <c r="A447" s="1"/>
      <c r="B447" s="2"/>
      <c r="C447" s="2"/>
      <c r="D447" s="2"/>
      <c r="E447" s="2"/>
      <c r="F447" s="4"/>
      <c r="G447" s="2"/>
      <c r="H447" s="2"/>
      <c r="I447" s="2"/>
      <c r="J447" s="2"/>
      <c r="K447" s="2"/>
      <c r="L447" s="2"/>
      <c r="M447" s="2"/>
      <c r="N447" s="2"/>
      <c r="O447" s="2"/>
    </row>
    <row r="448" spans="1:15" x14ac:dyDescent="0.3">
      <c r="A448" s="1"/>
      <c r="B448" s="2"/>
      <c r="C448" s="2"/>
      <c r="D448" s="2"/>
      <c r="E448" s="2"/>
      <c r="F448" s="4"/>
      <c r="G448" s="2"/>
      <c r="H448" s="2"/>
      <c r="I448" s="2"/>
      <c r="J448" s="2"/>
      <c r="K448" s="2"/>
      <c r="L448" s="2"/>
      <c r="M448" s="2"/>
      <c r="N448" s="2"/>
      <c r="O448" s="2"/>
    </row>
    <row r="449" spans="1:15" x14ac:dyDescent="0.3">
      <c r="A449" s="1"/>
      <c r="B449" s="2"/>
      <c r="C449" s="2"/>
      <c r="D449" s="2"/>
      <c r="E449" s="2"/>
      <c r="F449" s="4"/>
      <c r="G449" s="2"/>
      <c r="H449" s="2"/>
      <c r="I449" s="2"/>
      <c r="J449" s="2"/>
      <c r="K449" s="2"/>
      <c r="L449" s="2"/>
      <c r="M449" s="2"/>
      <c r="N449" s="2"/>
      <c r="O449" s="2"/>
    </row>
    <row r="450" spans="1:15" x14ac:dyDescent="0.3">
      <c r="A450" s="1"/>
      <c r="B450" s="2"/>
      <c r="C450" s="2"/>
      <c r="D450" s="2"/>
      <c r="E450" s="2"/>
      <c r="F450" s="4"/>
      <c r="G450" s="2"/>
      <c r="H450" s="2"/>
      <c r="I450" s="2"/>
      <c r="J450" s="2"/>
      <c r="K450" s="2"/>
      <c r="L450" s="2"/>
      <c r="M450" s="2"/>
      <c r="N450" s="2"/>
      <c r="O450" s="2"/>
    </row>
    <row r="451" spans="1:15" x14ac:dyDescent="0.3">
      <c r="A451" s="1"/>
      <c r="B451" s="2"/>
      <c r="C451" s="2"/>
      <c r="D451" s="2"/>
      <c r="E451" s="2"/>
      <c r="F451" s="4"/>
      <c r="G451" s="2"/>
      <c r="H451" s="2"/>
      <c r="I451" s="2"/>
      <c r="J451" s="2"/>
      <c r="K451" s="2"/>
      <c r="L451" s="2"/>
      <c r="M451" s="2"/>
      <c r="N451" s="2"/>
      <c r="O451" s="2"/>
    </row>
    <row r="452" spans="1:15" x14ac:dyDescent="0.3">
      <c r="A452" s="1"/>
      <c r="B452" s="2"/>
      <c r="C452" s="2"/>
      <c r="D452" s="2"/>
      <c r="E452" s="2"/>
      <c r="F452" s="4"/>
      <c r="G452" s="2"/>
      <c r="H452" s="2"/>
      <c r="I452" s="2"/>
      <c r="J452" s="2"/>
      <c r="K452" s="2"/>
      <c r="L452" s="2"/>
      <c r="M452" s="2"/>
      <c r="N452" s="2"/>
      <c r="O452" s="2"/>
    </row>
    <row r="453" spans="1:15" x14ac:dyDescent="0.3">
      <c r="A453" s="1"/>
      <c r="B453" s="2"/>
      <c r="C453" s="2"/>
      <c r="D453" s="2"/>
      <c r="E453" s="2"/>
      <c r="F453" s="4"/>
      <c r="G453" s="2"/>
      <c r="H453" s="2"/>
      <c r="I453" s="2"/>
      <c r="J453" s="2"/>
      <c r="K453" s="2"/>
      <c r="L453" s="2"/>
      <c r="M453" s="2"/>
      <c r="N453" s="2"/>
      <c r="O453" s="2"/>
    </row>
    <row r="454" spans="1:15" x14ac:dyDescent="0.3">
      <c r="A454" s="1"/>
      <c r="B454" s="2"/>
      <c r="C454" s="2"/>
      <c r="D454" s="2"/>
      <c r="E454" s="2"/>
      <c r="F454" s="4"/>
      <c r="G454" s="2"/>
      <c r="H454" s="2"/>
      <c r="I454" s="2"/>
      <c r="J454" s="2"/>
      <c r="K454" s="2"/>
      <c r="L454" s="2"/>
      <c r="M454" s="2"/>
      <c r="N454" s="2"/>
      <c r="O454" s="2"/>
    </row>
    <row r="455" spans="1:15" x14ac:dyDescent="0.3">
      <c r="A455" s="1"/>
      <c r="B455" s="2"/>
      <c r="C455" s="2"/>
      <c r="D455" s="2"/>
      <c r="E455" s="2"/>
      <c r="F455" s="4"/>
      <c r="G455" s="2"/>
      <c r="H455" s="2"/>
      <c r="I455" s="2"/>
      <c r="J455" s="2"/>
      <c r="K455" s="2"/>
      <c r="L455" s="2"/>
      <c r="M455" s="2"/>
      <c r="N455" s="2"/>
      <c r="O455" s="2"/>
    </row>
    <row r="456" spans="1:15" x14ac:dyDescent="0.3">
      <c r="A456" s="1"/>
      <c r="B456" s="2"/>
      <c r="C456" s="2"/>
      <c r="D456" s="2"/>
      <c r="E456" s="2"/>
      <c r="F456" s="4"/>
      <c r="G456" s="2"/>
      <c r="H456" s="2"/>
      <c r="I456" s="2"/>
      <c r="J456" s="2"/>
      <c r="K456" s="2"/>
      <c r="L456" s="2"/>
      <c r="M456" s="2"/>
      <c r="N456" s="2"/>
      <c r="O456" s="2"/>
    </row>
    <row r="457" spans="1:15" x14ac:dyDescent="0.3">
      <c r="A457" s="1"/>
      <c r="B457" s="2"/>
      <c r="C457" s="2"/>
      <c r="D457" s="2"/>
      <c r="E457" s="2"/>
      <c r="F457" s="4"/>
      <c r="G457" s="2"/>
      <c r="H457" s="2"/>
      <c r="I457" s="2"/>
      <c r="J457" s="2"/>
      <c r="K457" s="2"/>
      <c r="L457" s="2"/>
      <c r="M457" s="2"/>
      <c r="N457" s="2"/>
      <c r="O457" s="2"/>
    </row>
    <row r="458" spans="1:15" x14ac:dyDescent="0.3">
      <c r="A458" s="1"/>
      <c r="B458" s="2"/>
      <c r="C458" s="2"/>
      <c r="D458" s="2"/>
      <c r="E458" s="2"/>
      <c r="F458" s="4"/>
      <c r="G458" s="2"/>
      <c r="H458" s="2"/>
      <c r="I458" s="2"/>
      <c r="J458" s="2"/>
      <c r="K458" s="2"/>
      <c r="L458" s="2"/>
      <c r="M458" s="2"/>
      <c r="N458" s="2"/>
      <c r="O458" s="2"/>
    </row>
    <row r="459" spans="1:15" x14ac:dyDescent="0.3">
      <c r="A459" s="1"/>
      <c r="B459" s="2"/>
      <c r="C459" s="2"/>
      <c r="D459" s="2"/>
      <c r="E459" s="2"/>
      <c r="F459" s="4"/>
      <c r="G459" s="2"/>
      <c r="H459" s="2"/>
      <c r="I459" s="2"/>
      <c r="J459" s="2"/>
      <c r="K459" s="2"/>
      <c r="L459" s="2"/>
      <c r="M459" s="2"/>
      <c r="N459" s="2"/>
      <c r="O459" s="2"/>
    </row>
    <row r="460" spans="1:15" x14ac:dyDescent="0.3">
      <c r="A460" s="1"/>
      <c r="B460" s="2"/>
      <c r="C460" s="2"/>
      <c r="D460" s="2"/>
      <c r="E460" s="2"/>
      <c r="F460" s="4"/>
      <c r="G460" s="2"/>
      <c r="H460" s="2"/>
      <c r="I460" s="2"/>
      <c r="J460" s="2"/>
      <c r="K460" s="2"/>
      <c r="L460" s="2"/>
      <c r="M460" s="2"/>
      <c r="N460" s="2"/>
      <c r="O460" s="2"/>
    </row>
    <row r="461" spans="1:15" x14ac:dyDescent="0.3">
      <c r="A461" s="1"/>
      <c r="B461" s="2"/>
      <c r="C461" s="2"/>
      <c r="D461" s="2"/>
      <c r="E461" s="2"/>
      <c r="F461" s="4"/>
      <c r="G461" s="2"/>
      <c r="H461" s="2"/>
      <c r="I461" s="2"/>
      <c r="J461" s="2"/>
      <c r="K461" s="2"/>
      <c r="L461" s="2"/>
      <c r="M461" s="2"/>
      <c r="N461" s="2"/>
      <c r="O461" s="2"/>
    </row>
    <row r="462" spans="1:15" x14ac:dyDescent="0.3">
      <c r="A462" s="1"/>
      <c r="B462" s="2"/>
      <c r="C462" s="2"/>
      <c r="D462" s="2"/>
      <c r="E462" s="2"/>
      <c r="F462" s="4"/>
      <c r="G462" s="2"/>
      <c r="H462" s="2"/>
      <c r="I462" s="2"/>
      <c r="J462" s="2"/>
      <c r="K462" s="2"/>
      <c r="L462" s="2"/>
      <c r="M462" s="2"/>
      <c r="N462" s="2"/>
      <c r="O462" s="2"/>
    </row>
    <row r="463" spans="1:15" x14ac:dyDescent="0.3">
      <c r="A463" s="1"/>
      <c r="B463" s="2"/>
      <c r="C463" s="2"/>
      <c r="D463" s="2"/>
      <c r="E463" s="2"/>
      <c r="F463" s="4"/>
      <c r="G463" s="2"/>
      <c r="H463" s="2"/>
      <c r="I463" s="2"/>
      <c r="J463" s="2"/>
      <c r="K463" s="2"/>
      <c r="L463" s="2"/>
      <c r="M463" s="2"/>
      <c r="N463" s="2"/>
      <c r="O463" s="2"/>
    </row>
    <row r="464" spans="1:15" x14ac:dyDescent="0.3">
      <c r="A464" s="1"/>
      <c r="B464" s="2"/>
      <c r="C464" s="2"/>
      <c r="D464" s="2"/>
      <c r="E464" s="2"/>
      <c r="F464" s="4"/>
      <c r="G464" s="2"/>
      <c r="H464" s="2"/>
      <c r="I464" s="2"/>
      <c r="J464" s="2"/>
      <c r="K464" s="2"/>
      <c r="L464" s="2"/>
      <c r="M464" s="2"/>
      <c r="N464" s="2"/>
      <c r="O464" s="2"/>
    </row>
    <row r="465" spans="1:15" x14ac:dyDescent="0.3">
      <c r="A465" s="1"/>
      <c r="B465" s="2"/>
      <c r="C465" s="2"/>
      <c r="D465" s="2"/>
      <c r="E465" s="2"/>
      <c r="F465" s="4"/>
      <c r="G465" s="2"/>
      <c r="H465" s="2"/>
      <c r="I465" s="2"/>
      <c r="J465" s="2"/>
      <c r="K465" s="2"/>
      <c r="L465" s="2"/>
      <c r="M465" s="2"/>
      <c r="N465" s="2"/>
      <c r="O465" s="2"/>
    </row>
    <row r="466" spans="1:15" x14ac:dyDescent="0.3">
      <c r="A466" s="1"/>
      <c r="B466" s="2"/>
      <c r="C466" s="2"/>
      <c r="D466" s="2"/>
      <c r="E466" s="2"/>
      <c r="F466" s="4"/>
      <c r="G466" s="2"/>
      <c r="H466" s="2"/>
      <c r="I466" s="2"/>
      <c r="J466" s="2"/>
      <c r="K466" s="2"/>
      <c r="L466" s="2"/>
      <c r="M466" s="2"/>
      <c r="N466" s="2"/>
      <c r="O466" s="2"/>
    </row>
    <row r="467" spans="1:15" x14ac:dyDescent="0.3">
      <c r="A467" s="1"/>
      <c r="B467" s="2"/>
      <c r="C467" s="2"/>
      <c r="D467" s="2"/>
      <c r="E467" s="2"/>
      <c r="F467" s="4"/>
      <c r="G467" s="2"/>
      <c r="H467" s="2"/>
      <c r="I467" s="2"/>
      <c r="J467" s="2"/>
      <c r="K467" s="2"/>
      <c r="L467" s="2"/>
      <c r="M467" s="2"/>
      <c r="N467" s="2"/>
      <c r="O467" s="2"/>
    </row>
    <row r="468" spans="1:15" x14ac:dyDescent="0.3">
      <c r="A468" s="1"/>
      <c r="B468" s="2"/>
      <c r="C468" s="2"/>
      <c r="D468" s="2"/>
      <c r="E468" s="2"/>
      <c r="F468" s="4"/>
      <c r="G468" s="2"/>
      <c r="H468" s="2"/>
      <c r="I468" s="2"/>
      <c r="J468" s="2"/>
      <c r="K468" s="2"/>
      <c r="L468" s="2"/>
      <c r="M468" s="2"/>
      <c r="N468" s="2"/>
      <c r="O468" s="2"/>
    </row>
    <row r="469" spans="1:15" x14ac:dyDescent="0.3">
      <c r="A469" s="1"/>
      <c r="B469" s="2"/>
      <c r="C469" s="2"/>
      <c r="D469" s="2"/>
      <c r="E469" s="2"/>
      <c r="F469" s="4"/>
      <c r="G469" s="2"/>
      <c r="H469" s="2"/>
      <c r="I469" s="2"/>
      <c r="J469" s="2"/>
      <c r="K469" s="2"/>
      <c r="L469" s="2"/>
      <c r="M469" s="2"/>
      <c r="N469" s="2"/>
      <c r="O469" s="2"/>
    </row>
    <row r="470" spans="1:15" x14ac:dyDescent="0.3">
      <c r="A470" s="1"/>
      <c r="B470" s="2"/>
      <c r="C470" s="2"/>
      <c r="D470" s="2"/>
      <c r="E470" s="2"/>
      <c r="F470" s="4"/>
      <c r="G470" s="2"/>
      <c r="H470" s="2"/>
      <c r="I470" s="2"/>
      <c r="J470" s="2"/>
      <c r="K470" s="2"/>
      <c r="L470" s="2"/>
      <c r="M470" s="2"/>
      <c r="N470" s="2"/>
      <c r="O470" s="2"/>
    </row>
    <row r="471" spans="1:15" x14ac:dyDescent="0.3">
      <c r="A471" s="1"/>
      <c r="B471" s="2"/>
      <c r="C471" s="2"/>
      <c r="D471" s="2"/>
      <c r="E471" s="2"/>
      <c r="F471" s="4"/>
      <c r="G471" s="2"/>
      <c r="H471" s="2"/>
      <c r="I471" s="2"/>
      <c r="J471" s="2"/>
      <c r="K471" s="2"/>
      <c r="L471" s="2"/>
      <c r="M471" s="2"/>
      <c r="N471" s="2"/>
      <c r="O471" s="2"/>
    </row>
    <row r="472" spans="1:15" x14ac:dyDescent="0.3">
      <c r="A472" s="1"/>
      <c r="B472" s="2"/>
      <c r="C472" s="2"/>
      <c r="D472" s="2"/>
      <c r="E472" s="2"/>
      <c r="F472" s="4"/>
      <c r="G472" s="2"/>
      <c r="H472" s="2"/>
      <c r="I472" s="2"/>
      <c r="J472" s="2"/>
      <c r="K472" s="2"/>
      <c r="L472" s="2"/>
      <c r="M472" s="2"/>
      <c r="N472" s="2"/>
      <c r="O472" s="2"/>
    </row>
    <row r="473" spans="1:15" x14ac:dyDescent="0.3">
      <c r="A473" s="1"/>
      <c r="B473" s="2"/>
      <c r="C473" s="2"/>
      <c r="D473" s="2"/>
      <c r="E473" s="2"/>
      <c r="F473" s="4"/>
      <c r="G473" s="2"/>
      <c r="H473" s="2"/>
      <c r="I473" s="2"/>
      <c r="J473" s="2"/>
      <c r="K473" s="2"/>
      <c r="L473" s="2"/>
      <c r="M473" s="2"/>
      <c r="N473" s="2"/>
      <c r="O473" s="2"/>
    </row>
    <row r="474" spans="1:15" x14ac:dyDescent="0.3">
      <c r="A474" s="1"/>
      <c r="B474" s="2"/>
      <c r="C474" s="2"/>
      <c r="D474" s="2"/>
      <c r="E474" s="2"/>
      <c r="F474" s="4"/>
      <c r="G474" s="2"/>
      <c r="H474" s="2"/>
      <c r="I474" s="2"/>
      <c r="J474" s="2"/>
      <c r="K474" s="2"/>
      <c r="L474" s="2"/>
      <c r="M474" s="2"/>
      <c r="N474" s="2"/>
      <c r="O474" s="2"/>
    </row>
    <row r="475" spans="1:15" x14ac:dyDescent="0.3">
      <c r="A475" s="1"/>
      <c r="B475" s="2"/>
      <c r="C475" s="2"/>
      <c r="D475" s="2"/>
      <c r="E475" s="2"/>
      <c r="F475" s="4"/>
      <c r="G475" s="2"/>
      <c r="H475" s="2"/>
      <c r="I475" s="2"/>
      <c r="J475" s="2"/>
      <c r="K475" s="2"/>
      <c r="L475" s="2"/>
      <c r="M475" s="2"/>
      <c r="N475" s="2"/>
      <c r="O475" s="2"/>
    </row>
    <row r="476" spans="1:15" x14ac:dyDescent="0.3">
      <c r="A476" s="1"/>
      <c r="B476" s="2"/>
      <c r="C476" s="2"/>
      <c r="D476" s="2"/>
      <c r="E476" s="2"/>
      <c r="F476" s="4"/>
      <c r="G476" s="2"/>
      <c r="H476" s="2"/>
      <c r="I476" s="2"/>
      <c r="J476" s="2"/>
      <c r="K476" s="2"/>
      <c r="L476" s="2"/>
      <c r="M476" s="2"/>
      <c r="N476" s="2"/>
      <c r="O476" s="2"/>
    </row>
    <row r="477" spans="1:15" x14ac:dyDescent="0.3">
      <c r="A477" s="1"/>
      <c r="B477" s="2"/>
      <c r="C477" s="2"/>
      <c r="D477" s="2"/>
      <c r="E477" s="2"/>
      <c r="F477" s="4"/>
      <c r="G477" s="2"/>
      <c r="H477" s="2"/>
      <c r="I477" s="2"/>
      <c r="J477" s="2"/>
      <c r="K477" s="2"/>
      <c r="L477" s="2"/>
      <c r="M477" s="2"/>
      <c r="N477" s="2"/>
      <c r="O477" s="2"/>
    </row>
    <row r="478" spans="1:15" x14ac:dyDescent="0.3">
      <c r="A478" s="1"/>
      <c r="B478" s="2"/>
      <c r="C478" s="2"/>
      <c r="D478" s="2"/>
      <c r="E478" s="2"/>
      <c r="F478" s="4"/>
      <c r="G478" s="2"/>
      <c r="H478" s="2"/>
      <c r="I478" s="2"/>
      <c r="J478" s="2"/>
      <c r="K478" s="2"/>
      <c r="L478" s="2"/>
      <c r="M478" s="2"/>
      <c r="N478" s="2"/>
      <c r="O478" s="2"/>
    </row>
    <row r="479" spans="1:15" x14ac:dyDescent="0.3">
      <c r="A479" s="1"/>
      <c r="B479" s="2"/>
      <c r="C479" s="2"/>
      <c r="D479" s="2"/>
      <c r="E479" s="2"/>
      <c r="F479" s="4"/>
      <c r="G479" s="2"/>
      <c r="H479" s="2"/>
      <c r="I479" s="2"/>
      <c r="J479" s="2"/>
      <c r="K479" s="2"/>
      <c r="L479" s="2"/>
      <c r="M479" s="2"/>
      <c r="N479" s="2"/>
      <c r="O479" s="2"/>
    </row>
    <row r="480" spans="1:15" x14ac:dyDescent="0.3">
      <c r="A480" s="1"/>
      <c r="B480" s="2"/>
      <c r="C480" s="2"/>
      <c r="D480" s="2"/>
      <c r="E480" s="2"/>
      <c r="F480" s="4"/>
      <c r="G480" s="2"/>
      <c r="H480" s="2"/>
      <c r="I480" s="2"/>
      <c r="J480" s="2"/>
      <c r="K480" s="2"/>
      <c r="L480" s="2"/>
      <c r="M480" s="2"/>
      <c r="N480" s="2"/>
      <c r="O480" s="2"/>
    </row>
    <row r="481" spans="1:15" x14ac:dyDescent="0.3">
      <c r="A481" s="1"/>
      <c r="B481" s="2"/>
      <c r="C481" s="2"/>
      <c r="D481" s="2"/>
      <c r="E481" s="2"/>
      <c r="F481" s="4"/>
      <c r="G481" s="2"/>
      <c r="H481" s="2"/>
      <c r="I481" s="2"/>
      <c r="J481" s="2"/>
      <c r="K481" s="2"/>
      <c r="L481" s="2"/>
      <c r="M481" s="2"/>
      <c r="N481" s="2"/>
      <c r="O481" s="2"/>
    </row>
    <row r="482" spans="1:15" x14ac:dyDescent="0.3">
      <c r="A482" s="1"/>
      <c r="B482" s="2"/>
      <c r="C482" s="2"/>
      <c r="D482" s="2"/>
      <c r="E482" s="2"/>
      <c r="F482" s="4"/>
      <c r="G482" s="2"/>
      <c r="H482" s="2"/>
      <c r="I482" s="2"/>
      <c r="J482" s="2"/>
      <c r="K482" s="2"/>
      <c r="L482" s="2"/>
      <c r="M482" s="2"/>
      <c r="N482" s="2"/>
      <c r="O482" s="2"/>
    </row>
    <row r="483" spans="1:15" x14ac:dyDescent="0.3">
      <c r="A483" s="1"/>
      <c r="B483" s="2"/>
      <c r="C483" s="2"/>
      <c r="D483" s="2"/>
      <c r="E483" s="2"/>
      <c r="F483" s="4"/>
      <c r="G483" s="2"/>
      <c r="H483" s="2"/>
      <c r="I483" s="2"/>
      <c r="J483" s="2"/>
      <c r="K483" s="2"/>
      <c r="L483" s="2"/>
      <c r="M483" s="2"/>
      <c r="N483" s="2"/>
      <c r="O483" s="2"/>
    </row>
    <row r="484" spans="1:15" x14ac:dyDescent="0.3">
      <c r="A484" s="1"/>
      <c r="B484" s="2"/>
      <c r="C484" s="2"/>
      <c r="D484" s="2"/>
      <c r="E484" s="2"/>
      <c r="F484" s="4"/>
      <c r="G484" s="2"/>
      <c r="H484" s="2"/>
      <c r="I484" s="2"/>
      <c r="J484" s="2"/>
      <c r="K484" s="2"/>
      <c r="L484" s="2"/>
      <c r="M484" s="2"/>
      <c r="N484" s="2"/>
      <c r="O484" s="2"/>
    </row>
    <row r="485" spans="1:15" x14ac:dyDescent="0.3">
      <c r="A485" s="1"/>
      <c r="B485" s="2"/>
      <c r="C485" s="2"/>
      <c r="D485" s="2"/>
      <c r="E485" s="2"/>
      <c r="F485" s="4"/>
      <c r="G485" s="2"/>
      <c r="H485" s="2"/>
      <c r="I485" s="2"/>
      <c r="J485" s="2"/>
      <c r="K485" s="2"/>
      <c r="L485" s="2"/>
      <c r="M485" s="2"/>
      <c r="N485" s="2"/>
      <c r="O485" s="2"/>
    </row>
    <row r="486" spans="1:15" x14ac:dyDescent="0.3">
      <c r="A486" s="1"/>
      <c r="B486" s="2"/>
      <c r="C486" s="2"/>
      <c r="D486" s="2"/>
      <c r="E486" s="2"/>
      <c r="F486" s="4"/>
      <c r="G486" s="2"/>
      <c r="H486" s="2"/>
      <c r="I486" s="2"/>
      <c r="J486" s="2"/>
      <c r="K486" s="2"/>
      <c r="L486" s="2"/>
      <c r="M486" s="2"/>
      <c r="N486" s="2"/>
      <c r="O486" s="2"/>
    </row>
    <row r="487" spans="1:15" x14ac:dyDescent="0.3">
      <c r="A487" s="1"/>
      <c r="B487" s="2"/>
      <c r="C487" s="2"/>
      <c r="D487" s="2"/>
      <c r="E487" s="2"/>
      <c r="F487" s="4"/>
      <c r="G487" s="2"/>
      <c r="H487" s="2"/>
      <c r="I487" s="2"/>
      <c r="J487" s="2"/>
      <c r="K487" s="2"/>
      <c r="L487" s="2"/>
      <c r="M487" s="2"/>
      <c r="N487" s="2"/>
      <c r="O487" s="2"/>
    </row>
    <row r="488" spans="1:15" x14ac:dyDescent="0.3">
      <c r="A488" s="1"/>
      <c r="B488" s="2"/>
      <c r="C488" s="2"/>
      <c r="D488" s="2"/>
      <c r="E488" s="2"/>
      <c r="F488" s="4"/>
      <c r="G488" s="2"/>
      <c r="H488" s="2"/>
      <c r="I488" s="2"/>
      <c r="J488" s="2"/>
      <c r="K488" s="2"/>
      <c r="L488" s="2"/>
      <c r="M488" s="2"/>
      <c r="N488" s="2"/>
      <c r="O488" s="2"/>
    </row>
    <row r="489" spans="1:15" x14ac:dyDescent="0.3">
      <c r="A489" s="1"/>
      <c r="B489" s="2"/>
      <c r="C489" s="2"/>
      <c r="D489" s="2"/>
      <c r="E489" s="2"/>
      <c r="F489" s="4"/>
      <c r="G489" s="2"/>
      <c r="H489" s="2"/>
      <c r="I489" s="2"/>
      <c r="J489" s="2"/>
      <c r="K489" s="2"/>
      <c r="L489" s="2"/>
      <c r="M489" s="2"/>
      <c r="N489" s="2"/>
      <c r="O489" s="2"/>
    </row>
    <row r="490" spans="1:15" x14ac:dyDescent="0.3">
      <c r="A490" s="1"/>
      <c r="B490" s="2"/>
      <c r="C490" s="2"/>
      <c r="D490" s="2"/>
      <c r="E490" s="2"/>
      <c r="F490" s="4"/>
      <c r="G490" s="2"/>
      <c r="H490" s="2"/>
      <c r="I490" s="2"/>
      <c r="J490" s="2"/>
      <c r="K490" s="2"/>
      <c r="L490" s="2"/>
      <c r="M490" s="2"/>
      <c r="N490" s="2"/>
      <c r="O490" s="2"/>
    </row>
    <row r="491" spans="1:15" x14ac:dyDescent="0.3">
      <c r="A491" s="1"/>
      <c r="B491" s="2"/>
      <c r="C491" s="2"/>
      <c r="D491" s="2"/>
      <c r="E491" s="2"/>
      <c r="F491" s="4"/>
      <c r="G491" s="2"/>
      <c r="H491" s="2"/>
      <c r="I491" s="2"/>
      <c r="J491" s="2"/>
      <c r="K491" s="2"/>
      <c r="L491" s="2"/>
      <c r="M491" s="2"/>
      <c r="N491" s="2"/>
      <c r="O491" s="2"/>
    </row>
    <row r="492" spans="1:15" x14ac:dyDescent="0.3">
      <c r="A492" s="1"/>
      <c r="B492" s="2"/>
      <c r="C492" s="2"/>
      <c r="D492" s="2"/>
      <c r="E492" s="2"/>
      <c r="F492" s="4"/>
      <c r="G492" s="2"/>
      <c r="H492" s="2"/>
      <c r="I492" s="2"/>
      <c r="J492" s="2"/>
      <c r="K492" s="2"/>
      <c r="L492" s="2"/>
      <c r="M492" s="2"/>
      <c r="N492" s="2"/>
      <c r="O492" s="2"/>
    </row>
    <row r="493" spans="1:15" x14ac:dyDescent="0.3">
      <c r="A493" s="1"/>
      <c r="B493" s="2"/>
      <c r="C493" s="2"/>
      <c r="D493" s="2"/>
      <c r="E493" s="2"/>
      <c r="F493" s="4"/>
      <c r="G493" s="2"/>
      <c r="H493" s="2"/>
      <c r="I493" s="2"/>
      <c r="J493" s="2"/>
      <c r="K493" s="2"/>
      <c r="L493" s="2"/>
      <c r="M493" s="2"/>
      <c r="N493" s="2"/>
      <c r="O493" s="2"/>
    </row>
    <row r="494" spans="1:15" x14ac:dyDescent="0.3">
      <c r="A494" s="1"/>
      <c r="B494" s="2"/>
      <c r="C494" s="2"/>
      <c r="D494" s="2"/>
      <c r="E494" s="2"/>
      <c r="F494" s="4"/>
      <c r="G494" s="2"/>
      <c r="H494" s="2"/>
      <c r="I494" s="2"/>
      <c r="J494" s="2"/>
      <c r="K494" s="2"/>
      <c r="L494" s="2"/>
      <c r="M494" s="2"/>
      <c r="N494" s="2"/>
      <c r="O494" s="2"/>
    </row>
    <row r="495" spans="1:15" x14ac:dyDescent="0.3">
      <c r="A495" s="1"/>
      <c r="B495" s="2"/>
      <c r="C495" s="2"/>
      <c r="D495" s="2"/>
      <c r="E495" s="2"/>
      <c r="F495" s="4"/>
      <c r="G495" s="2"/>
      <c r="H495" s="2"/>
      <c r="I495" s="2"/>
      <c r="J495" s="2"/>
      <c r="K495" s="2"/>
      <c r="L495" s="2"/>
      <c r="M495" s="2"/>
      <c r="N495" s="2"/>
      <c r="O495" s="2"/>
    </row>
    <row r="496" spans="1:15" x14ac:dyDescent="0.3">
      <c r="A496" s="1"/>
      <c r="B496" s="2"/>
      <c r="C496" s="2"/>
      <c r="D496" s="2"/>
      <c r="E496" s="2"/>
      <c r="F496" s="4"/>
      <c r="G496" s="2"/>
      <c r="H496" s="2"/>
      <c r="I496" s="2"/>
      <c r="J496" s="2"/>
      <c r="K496" s="2"/>
      <c r="L496" s="2"/>
      <c r="M496" s="2"/>
      <c r="N496" s="2"/>
      <c r="O496" s="2"/>
    </row>
    <row r="497" spans="1:15" x14ac:dyDescent="0.3">
      <c r="A497" s="1"/>
      <c r="B497" s="2"/>
      <c r="C497" s="2"/>
      <c r="D497" s="2"/>
      <c r="E497" s="2"/>
      <c r="F497" s="4"/>
      <c r="G497" s="2"/>
      <c r="H497" s="2"/>
      <c r="I497" s="2"/>
      <c r="J497" s="2"/>
      <c r="K497" s="2"/>
      <c r="L497" s="2"/>
      <c r="M497" s="2"/>
      <c r="N497" s="2"/>
      <c r="O497" s="2"/>
    </row>
    <row r="498" spans="1:15" x14ac:dyDescent="0.3">
      <c r="A498" s="1"/>
      <c r="B498" s="2"/>
      <c r="C498" s="2"/>
      <c r="D498" s="2"/>
      <c r="E498" s="2"/>
      <c r="F498" s="4"/>
      <c r="G498" s="2"/>
      <c r="H498" s="2"/>
      <c r="I498" s="2"/>
      <c r="J498" s="2"/>
      <c r="K498" s="2"/>
      <c r="L498" s="2"/>
      <c r="M498" s="2"/>
      <c r="N498" s="2"/>
      <c r="O498" s="2"/>
    </row>
    <row r="499" spans="1:15" x14ac:dyDescent="0.3">
      <c r="A499" s="1"/>
      <c r="B499" s="2"/>
      <c r="C499" s="2"/>
      <c r="D499" s="2"/>
      <c r="E499" s="2"/>
      <c r="F499" s="4"/>
      <c r="G499" s="2"/>
      <c r="H499" s="2"/>
      <c r="I499" s="2"/>
      <c r="J499" s="2"/>
      <c r="K499" s="2"/>
      <c r="L499" s="2"/>
      <c r="M499" s="2"/>
      <c r="N499" s="2"/>
      <c r="O499" s="2"/>
    </row>
    <row r="500" spans="1:15" x14ac:dyDescent="0.3">
      <c r="A500" s="1"/>
      <c r="B500" s="2"/>
      <c r="C500" s="2"/>
      <c r="D500" s="2"/>
      <c r="E500" s="2"/>
      <c r="F500" s="4"/>
      <c r="G500" s="2"/>
      <c r="H500" s="2"/>
      <c r="I500" s="2"/>
      <c r="J500" s="2"/>
      <c r="K500" s="2"/>
      <c r="L500" s="2"/>
      <c r="M500" s="2"/>
      <c r="N500" s="2"/>
      <c r="O500" s="2"/>
    </row>
    <row r="501" spans="1:15" x14ac:dyDescent="0.3">
      <c r="A501" s="1"/>
      <c r="B501" s="2"/>
      <c r="C501" s="2"/>
      <c r="D501" s="2"/>
      <c r="E501" s="2"/>
      <c r="F501" s="4"/>
      <c r="G501" s="2"/>
      <c r="H501" s="2"/>
      <c r="I501" s="2"/>
      <c r="J501" s="2"/>
      <c r="K501" s="2"/>
      <c r="L501" s="2"/>
      <c r="M501" s="2"/>
      <c r="N501" s="2"/>
      <c r="O501" s="2"/>
    </row>
    <row r="502" spans="1:15" x14ac:dyDescent="0.3">
      <c r="A502" s="1"/>
      <c r="B502" s="2"/>
      <c r="C502" s="2"/>
      <c r="D502" s="2"/>
      <c r="E502" s="2"/>
      <c r="F502" s="4"/>
      <c r="G502" s="2"/>
      <c r="H502" s="2"/>
      <c r="I502" s="2"/>
      <c r="J502" s="2"/>
      <c r="K502" s="2"/>
      <c r="L502" s="2"/>
      <c r="M502" s="2"/>
      <c r="N502" s="2"/>
      <c r="O502" s="2"/>
    </row>
    <row r="503" spans="1:15" x14ac:dyDescent="0.3">
      <c r="A503" s="1"/>
      <c r="B503" s="2"/>
      <c r="C503" s="2"/>
      <c r="D503" s="2"/>
      <c r="E503" s="2"/>
      <c r="F503" s="4"/>
      <c r="G503" s="2"/>
      <c r="H503" s="2"/>
      <c r="I503" s="2"/>
      <c r="J503" s="2"/>
      <c r="K503" s="2"/>
      <c r="L503" s="2"/>
      <c r="M503" s="2"/>
      <c r="N503" s="2"/>
      <c r="O503" s="2"/>
    </row>
    <row r="504" spans="1:15" x14ac:dyDescent="0.3">
      <c r="A504" s="1"/>
      <c r="B504" s="2"/>
      <c r="C504" s="2"/>
      <c r="D504" s="2"/>
      <c r="E504" s="2"/>
      <c r="F504" s="4"/>
      <c r="G504" s="2"/>
      <c r="H504" s="2"/>
      <c r="I504" s="2"/>
      <c r="J504" s="2"/>
      <c r="K504" s="2"/>
      <c r="L504" s="2"/>
      <c r="M504" s="2"/>
      <c r="N504" s="2"/>
      <c r="O504" s="2"/>
    </row>
    <row r="505" spans="1:15" x14ac:dyDescent="0.3">
      <c r="A505" s="1"/>
      <c r="B505" s="2"/>
      <c r="C505" s="2"/>
      <c r="D505" s="2"/>
      <c r="E505" s="2"/>
      <c r="F505" s="4"/>
      <c r="G505" s="2"/>
      <c r="H505" s="2"/>
      <c r="I505" s="2"/>
      <c r="J505" s="2"/>
      <c r="K505" s="2"/>
      <c r="L505" s="2"/>
      <c r="M505" s="2"/>
      <c r="N505" s="2"/>
      <c r="O505" s="2"/>
    </row>
    <row r="506" spans="1:15" x14ac:dyDescent="0.3">
      <c r="A506" s="1"/>
      <c r="B506" s="2"/>
      <c r="C506" s="2"/>
      <c r="D506" s="2"/>
      <c r="E506" s="2"/>
      <c r="F506" s="4"/>
      <c r="G506" s="2"/>
      <c r="H506" s="2"/>
      <c r="I506" s="2"/>
      <c r="J506" s="2"/>
      <c r="K506" s="2"/>
      <c r="L506" s="2"/>
      <c r="M506" s="2"/>
      <c r="N506" s="2"/>
      <c r="O506" s="2"/>
    </row>
    <row r="507" spans="1:15" x14ac:dyDescent="0.3">
      <c r="A507" s="1"/>
      <c r="B507" s="2"/>
      <c r="C507" s="2"/>
      <c r="D507" s="2"/>
      <c r="E507" s="2"/>
      <c r="F507" s="4"/>
      <c r="G507" s="2"/>
      <c r="H507" s="2"/>
      <c r="I507" s="2"/>
      <c r="J507" s="2"/>
      <c r="K507" s="2"/>
      <c r="L507" s="2"/>
      <c r="M507" s="2"/>
      <c r="N507" s="2"/>
      <c r="O507" s="2"/>
    </row>
    <row r="508" spans="1:15" x14ac:dyDescent="0.3">
      <c r="A508" s="1"/>
      <c r="B508" s="2"/>
      <c r="C508" s="2"/>
      <c r="D508" s="2"/>
      <c r="E508" s="2"/>
      <c r="F508" s="4"/>
      <c r="G508" s="2"/>
      <c r="H508" s="2"/>
      <c r="I508" s="2"/>
      <c r="J508" s="2"/>
      <c r="K508" s="2"/>
      <c r="L508" s="2"/>
      <c r="M508" s="2"/>
      <c r="N508" s="2"/>
      <c r="O508" s="2"/>
    </row>
    <row r="509" spans="1:15" x14ac:dyDescent="0.3">
      <c r="A509" s="1"/>
      <c r="B509" s="2"/>
      <c r="C509" s="2"/>
      <c r="D509" s="2"/>
      <c r="E509" s="2"/>
      <c r="F509" s="4"/>
      <c r="G509" s="2"/>
      <c r="H509" s="2"/>
      <c r="I509" s="2"/>
      <c r="J509" s="2"/>
      <c r="K509" s="2"/>
      <c r="L509" s="2"/>
      <c r="M509" s="2"/>
      <c r="N509" s="2"/>
      <c r="O509" s="2"/>
    </row>
    <row r="510" spans="1:15" x14ac:dyDescent="0.3">
      <c r="A510" s="1"/>
      <c r="B510" s="2"/>
      <c r="C510" s="2"/>
      <c r="D510" s="2"/>
      <c r="E510" s="2"/>
      <c r="F510" s="4"/>
      <c r="G510" s="2"/>
      <c r="H510" s="2"/>
      <c r="I510" s="2"/>
      <c r="J510" s="2"/>
      <c r="K510" s="2"/>
      <c r="L510" s="2"/>
      <c r="M510" s="2"/>
      <c r="N510" s="2"/>
      <c r="O510" s="2"/>
    </row>
    <row r="511" spans="1:15" x14ac:dyDescent="0.3">
      <c r="A511" s="1"/>
      <c r="B511" s="2"/>
      <c r="C511" s="2"/>
      <c r="D511" s="2"/>
      <c r="E511" s="2"/>
      <c r="F511" s="4"/>
      <c r="G511" s="2"/>
      <c r="H511" s="2"/>
      <c r="I511" s="2"/>
      <c r="J511" s="2"/>
      <c r="K511" s="2"/>
      <c r="L511" s="2"/>
      <c r="M511" s="2"/>
      <c r="N511" s="2"/>
      <c r="O511" s="2"/>
    </row>
    <row r="512" spans="1:15" x14ac:dyDescent="0.3">
      <c r="A512" s="1"/>
      <c r="B512" s="2"/>
      <c r="C512" s="2"/>
      <c r="D512" s="2"/>
      <c r="E512" s="2"/>
      <c r="F512" s="4"/>
      <c r="G512" s="2"/>
      <c r="H512" s="2"/>
      <c r="I512" s="2"/>
      <c r="J512" s="2"/>
      <c r="K512" s="2"/>
      <c r="L512" s="2"/>
      <c r="M512" s="2"/>
      <c r="N512" s="2"/>
      <c r="O512" s="2"/>
    </row>
    <row r="513" spans="1:15" x14ac:dyDescent="0.3">
      <c r="A513" s="1"/>
      <c r="B513" s="2"/>
      <c r="C513" s="2"/>
      <c r="D513" s="2"/>
      <c r="E513" s="2"/>
      <c r="F513" s="4"/>
      <c r="G513" s="2"/>
      <c r="H513" s="2"/>
      <c r="I513" s="2"/>
      <c r="J513" s="2"/>
      <c r="K513" s="2"/>
      <c r="L513" s="2"/>
      <c r="M513" s="2"/>
      <c r="N513" s="2"/>
      <c r="O513" s="2"/>
    </row>
    <row r="514" spans="1:15" x14ac:dyDescent="0.3">
      <c r="A514" s="1"/>
      <c r="B514" s="2"/>
      <c r="C514" s="2"/>
      <c r="D514" s="2"/>
      <c r="E514" s="2"/>
      <c r="F514" s="4"/>
      <c r="G514" s="2"/>
      <c r="H514" s="2"/>
      <c r="I514" s="2"/>
      <c r="J514" s="2"/>
      <c r="K514" s="2"/>
      <c r="L514" s="2"/>
      <c r="M514" s="2"/>
      <c r="N514" s="2"/>
      <c r="O514" s="2"/>
    </row>
    <row r="515" spans="1:15" x14ac:dyDescent="0.3">
      <c r="A515" s="1"/>
      <c r="B515" s="2"/>
      <c r="C515" s="2"/>
      <c r="D515" s="2"/>
      <c r="E515" s="2"/>
      <c r="F515" s="4"/>
      <c r="G515" s="2"/>
      <c r="H515" s="2"/>
      <c r="I515" s="2"/>
      <c r="J515" s="2"/>
      <c r="K515" s="2"/>
      <c r="L515" s="2"/>
      <c r="M515" s="2"/>
      <c r="N515" s="2"/>
      <c r="O515" s="2"/>
    </row>
    <row r="516" spans="1:15" x14ac:dyDescent="0.3">
      <c r="A516" s="1"/>
      <c r="B516" s="2"/>
      <c r="C516" s="2"/>
      <c r="D516" s="2"/>
      <c r="E516" s="2"/>
      <c r="F516" s="4"/>
      <c r="G516" s="2"/>
      <c r="H516" s="2"/>
      <c r="I516" s="2"/>
      <c r="J516" s="2"/>
      <c r="K516" s="2"/>
      <c r="L516" s="2"/>
      <c r="M516" s="2"/>
      <c r="N516" s="2"/>
      <c r="O516" s="2"/>
    </row>
    <row r="517" spans="1:15" x14ac:dyDescent="0.3">
      <c r="A517" s="1"/>
      <c r="B517" s="2"/>
      <c r="C517" s="2"/>
      <c r="D517" s="2"/>
      <c r="E517" s="2"/>
      <c r="F517" s="4"/>
      <c r="G517" s="2"/>
      <c r="H517" s="2"/>
      <c r="I517" s="2"/>
      <c r="J517" s="2"/>
      <c r="K517" s="2"/>
      <c r="L517" s="2"/>
      <c r="M517" s="2"/>
      <c r="N517" s="2"/>
      <c r="O517" s="2"/>
    </row>
    <row r="518" spans="1:15" x14ac:dyDescent="0.3">
      <c r="A518" s="1"/>
      <c r="B518" s="2"/>
      <c r="C518" s="2"/>
      <c r="D518" s="2"/>
      <c r="E518" s="2"/>
      <c r="F518" s="4"/>
      <c r="G518" s="2"/>
      <c r="H518" s="2"/>
      <c r="I518" s="2"/>
      <c r="J518" s="2"/>
      <c r="K518" s="2"/>
      <c r="L518" s="2"/>
      <c r="M518" s="2"/>
      <c r="N518" s="2"/>
      <c r="O518" s="2"/>
    </row>
    <row r="519" spans="1:15" x14ac:dyDescent="0.3">
      <c r="A519" s="1"/>
      <c r="B519" s="2"/>
      <c r="C519" s="2"/>
      <c r="D519" s="2"/>
      <c r="E519" s="2"/>
      <c r="F519" s="4"/>
      <c r="G519" s="2"/>
      <c r="H519" s="2"/>
      <c r="I519" s="2"/>
      <c r="J519" s="2"/>
      <c r="K519" s="2"/>
      <c r="L519" s="2"/>
      <c r="M519" s="2"/>
      <c r="N519" s="2"/>
      <c r="O519" s="2"/>
    </row>
    <row r="520" spans="1:15" x14ac:dyDescent="0.3">
      <c r="A520" s="1"/>
      <c r="B520" s="2"/>
      <c r="C520" s="2"/>
      <c r="D520" s="2"/>
      <c r="E520" s="2"/>
      <c r="F520" s="4"/>
      <c r="G520" s="2"/>
      <c r="H520" s="2"/>
      <c r="I520" s="2"/>
      <c r="J520" s="2"/>
      <c r="K520" s="2"/>
      <c r="L520" s="2"/>
      <c r="M520" s="2"/>
      <c r="N520" s="2"/>
      <c r="O520" s="2"/>
    </row>
    <row r="521" spans="1:15" x14ac:dyDescent="0.3">
      <c r="A521" s="1"/>
      <c r="B521" s="2"/>
      <c r="C521" s="2"/>
      <c r="D521" s="2"/>
      <c r="E521" s="2"/>
      <c r="F521" s="4"/>
      <c r="G521" s="2"/>
      <c r="H521" s="2"/>
      <c r="I521" s="2"/>
      <c r="J521" s="2"/>
      <c r="K521" s="2"/>
      <c r="L521" s="2"/>
      <c r="M521" s="2"/>
      <c r="N521" s="2"/>
      <c r="O521" s="2"/>
    </row>
  </sheetData>
  <autoFilter ref="A1:O332"/>
  <pageMargins left="0.7" right="0.7" top="0.75" bottom="0.75" header="0.3" footer="0.3"/>
  <pageSetup paperSize="9" scale="3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Tamerlan</cp:lastModifiedBy>
  <cp:lastPrinted>2023-06-06T11:59:58Z</cp:lastPrinted>
  <dcterms:created xsi:type="dcterms:W3CDTF">2023-01-09T13:06:43Z</dcterms:created>
  <dcterms:modified xsi:type="dcterms:W3CDTF">2026-03-09T17:29:33Z</dcterms:modified>
</cp:coreProperties>
</file>