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E:\kotlin\back\exast-v1\app\src\test\resources\"/>
    </mc:Choice>
  </mc:AlternateContent>
  <bookViews>
    <workbookView xWindow="0" yWindow="6480" windowWidth="28800" windowHeight="13212" activeTab="1"/>
  </bookViews>
  <sheets>
    <sheet name="Лист1" sheetId="1" r:id="rId1"/>
    <sheet name="Лист2" sheetId="2" r:id="rId2"/>
  </sheets>
  <definedNames>
    <definedName name="_xlnm._FilterDatabase" localSheetId="0" hidden="1">Лист1!$A$1:$P$408</definedName>
  </definedNames>
  <calcPr calcId="152511"/>
</workbook>
</file>

<file path=xl/calcChain.xml><?xml version="1.0" encoding="utf-8"?>
<calcChain xmlns="http://schemas.openxmlformats.org/spreadsheetml/2006/main">
  <c r="L2" i="2" l="1"/>
  <c r="L1" i="2"/>
  <c r="L381" i="1" l="1"/>
  <c r="L259" i="1"/>
  <c r="L262" i="1"/>
  <c r="L274" i="1"/>
  <c r="L277" i="1"/>
  <c r="L292" i="1"/>
  <c r="L301" i="1"/>
  <c r="L307" i="1"/>
  <c r="L309" i="1"/>
  <c r="L315" i="1"/>
  <c r="L322" i="1"/>
  <c r="L353" i="1"/>
  <c r="L357" i="1"/>
  <c r="L363" i="1"/>
  <c r="L371" i="1"/>
  <c r="L372" i="1"/>
  <c r="L374" i="1"/>
  <c r="L386" i="1"/>
  <c r="L389" i="1"/>
  <c r="L390" i="1"/>
  <c r="L392" i="1"/>
  <c r="L369" i="1"/>
  <c r="L303" i="1"/>
  <c r="L391" i="1"/>
  <c r="L297" i="1"/>
  <c r="L368" i="1"/>
  <c r="L351" i="1"/>
  <c r="L333" i="1"/>
  <c r="L312" i="1"/>
  <c r="L302" i="1"/>
  <c r="L268" i="1"/>
  <c r="L264" i="1"/>
  <c r="L378" i="1"/>
  <c r="L394" i="1" l="1"/>
  <c r="L328" i="1" l="1"/>
  <c r="L316" i="1"/>
  <c r="L298" i="1"/>
  <c r="L284" i="1" l="1"/>
  <c r="L335" i="1"/>
  <c r="L384" i="1"/>
  <c r="L400" i="1"/>
  <c r="L393" i="1"/>
  <c r="L396" i="1"/>
  <c r="L399" i="1"/>
  <c r="L398" i="1"/>
  <c r="L238" i="1"/>
  <c r="L248" i="1" l="1"/>
  <c r="L263" i="1" l="1"/>
  <c r="L296" i="1"/>
  <c r="L304" i="1"/>
  <c r="L306" i="1"/>
  <c r="L311" i="1"/>
  <c r="L329" i="1"/>
  <c r="L319" i="1" l="1"/>
  <c r="L280" i="1"/>
  <c r="L382" i="1"/>
  <c r="L325" i="1"/>
  <c r="L326" i="1"/>
  <c r="L340" i="1"/>
  <c r="L345" i="1"/>
  <c r="L355" i="1"/>
  <c r="L362" i="1"/>
  <c r="L359" i="1"/>
  <c r="L361" i="1"/>
  <c r="L375" i="1"/>
  <c r="L377" i="1"/>
  <c r="L376" i="1"/>
  <c r="L383" i="1"/>
  <c r="L385" i="1"/>
  <c r="L387" i="1"/>
  <c r="L395" i="1"/>
  <c r="L397" i="1"/>
  <c r="M34" i="1" l="1"/>
  <c r="L379" i="1" l="1"/>
  <c r="L367" i="1" l="1"/>
  <c r="L365" i="1" l="1"/>
  <c r="L331" i="1" l="1"/>
  <c r="L330" i="1"/>
  <c r="L327" i="1"/>
  <c r="L324" i="1" l="1"/>
  <c r="L283" i="1" l="1"/>
  <c r="L287" i="1"/>
  <c r="L291" i="1"/>
  <c r="D243" i="1" l="1"/>
  <c r="D242" i="1"/>
  <c r="L183" i="1" l="1"/>
  <c r="L250" i="1" l="1"/>
  <c r="D244" i="1" l="1"/>
  <c r="D241" i="1"/>
  <c r="L195" i="1" l="1"/>
  <c r="L247" i="1"/>
  <c r="L282" i="1" l="1"/>
  <c r="L279" i="1"/>
  <c r="L278" i="1"/>
  <c r="L252" i="1" l="1"/>
  <c r="L265" i="1"/>
  <c r="L232" i="1" l="1"/>
  <c r="L230" i="1"/>
  <c r="L228" i="1"/>
  <c r="L225" i="1" l="1"/>
  <c r="L269" i="1" l="1"/>
  <c r="L229" i="1"/>
  <c r="L226" i="1"/>
  <c r="L221" i="1"/>
  <c r="L203" i="1" l="1"/>
  <c r="L202" i="1"/>
  <c r="L189" i="1"/>
  <c r="L220" i="1" l="1"/>
  <c r="L218" i="1"/>
  <c r="L217" i="1"/>
  <c r="L216" i="1" l="1"/>
  <c r="L215" i="1"/>
  <c r="L214" i="1"/>
  <c r="L213" i="1"/>
  <c r="L211" i="1"/>
  <c r="L210" i="1"/>
  <c r="L208" i="1"/>
  <c r="L197" i="1" l="1"/>
  <c r="L199" i="1"/>
  <c r="L175" i="1" l="1"/>
  <c r="L176" i="1" l="1"/>
  <c r="L166" i="1" l="1"/>
  <c r="L173" i="1" l="1"/>
  <c r="L172" i="1" l="1"/>
  <c r="L156" i="1" l="1"/>
  <c r="L160" i="1"/>
  <c r="L135" i="1" l="1"/>
  <c r="L134" i="1"/>
  <c r="L154" i="1"/>
  <c r="L155" i="1"/>
  <c r="L149" i="1"/>
  <c r="L153" i="1"/>
  <c r="L158" i="1" l="1"/>
  <c r="L152" i="1"/>
  <c r="G145" i="1" l="1"/>
  <c r="C145" i="1"/>
  <c r="L141" i="1" l="1"/>
  <c r="L143" i="1"/>
  <c r="L147" i="1"/>
  <c r="L144" i="1"/>
  <c r="L146" i="1"/>
  <c r="L151" i="1" l="1"/>
  <c r="L121" i="1" l="1"/>
  <c r="L136" i="1" l="1"/>
  <c r="L117" i="1" l="1"/>
  <c r="L120" i="1" l="1"/>
  <c r="L118" i="1"/>
  <c r="L115" i="1" l="1"/>
  <c r="L113" i="1"/>
  <c r="L105" i="1" l="1"/>
  <c r="L102" i="1"/>
  <c r="L110" i="1"/>
  <c r="M109" i="1" l="1"/>
  <c r="M107" i="1"/>
  <c r="L67" i="1" l="1"/>
  <c r="L71" i="1"/>
  <c r="L98" i="1"/>
  <c r="L96" i="1"/>
  <c r="L83" i="1"/>
  <c r="L76" i="1"/>
  <c r="L94" i="1"/>
  <c r="L74" i="1"/>
  <c r="L86" i="1"/>
  <c r="L57" i="1" l="1"/>
  <c r="L64" i="1"/>
  <c r="L65" i="1"/>
  <c r="L63" i="1"/>
  <c r="L62" i="1" l="1"/>
  <c r="L46" i="1" l="1"/>
  <c r="L56" i="1" l="1"/>
  <c r="L40" i="1" l="1"/>
  <c r="L42" i="1" l="1"/>
  <c r="L41" i="1"/>
  <c r="L39" i="1"/>
  <c r="L32" i="1" l="1"/>
  <c r="L31" i="1"/>
  <c r="L25" i="1"/>
  <c r="L29" i="1"/>
  <c r="L37" i="1" l="1"/>
  <c r="L30" i="1"/>
  <c r="L17" i="1" l="1"/>
  <c r="L5" i="1"/>
  <c r="L14" i="1"/>
  <c r="L13" i="1"/>
  <c r="L12" i="1"/>
  <c r="L11" i="1"/>
  <c r="L26" i="1"/>
  <c r="L24" i="1"/>
  <c r="L23" i="1"/>
  <c r="L22" i="1"/>
  <c r="L21" i="1"/>
  <c r="L20" i="1"/>
  <c r="L9" i="1" l="1"/>
  <c r="L10" i="1" l="1"/>
  <c r="L7" i="1"/>
  <c r="L6" i="1"/>
  <c r="L2" i="1" l="1"/>
</calcChain>
</file>

<file path=xl/sharedStrings.xml><?xml version="1.0" encoding="utf-8"?>
<sst xmlns="http://schemas.openxmlformats.org/spreadsheetml/2006/main" count="3480" uniqueCount="1044">
  <si>
    <t>Комплекс каникулярных мероприятий для иностранных студентов КБГУ: Кинопросмотр мультфильма на английском языке</t>
  </si>
  <si>
    <t>Кинопросмотр фильма на английском языке с русскими и английскими субтитрами для совершенствования языка участников просмотра и студенческого клуба.</t>
  </si>
  <si>
    <t>Культурно-творческое</t>
  </si>
  <si>
    <t>Физическое</t>
  </si>
  <si>
    <t>Очный</t>
  </si>
  <si>
    <t>КБР, г. Нальчик, КБГУ, ул. Чернышевского, 173</t>
  </si>
  <si>
    <t>УМПиВР КБГУ</t>
  </si>
  <si>
    <t>Клуб интернациональной дружбы КБГУ</t>
  </si>
  <si>
    <t>Патриотическое</t>
  </si>
  <si>
    <t>Клуб общественных наблюдателей КБГУ</t>
  </si>
  <si>
    <t>Волонтерский центр КБГУ</t>
  </si>
  <si>
    <t>Клуб настольных игр КБГУ</t>
  </si>
  <si>
    <t>Организация мероприятия</t>
  </si>
  <si>
    <t>Региональный</t>
  </si>
  <si>
    <t>Клуб о моде "Savoir"</t>
  </si>
  <si>
    <t xml:space="preserve">Очный </t>
  </si>
  <si>
    <t>Онлайн</t>
  </si>
  <si>
    <t>Международный</t>
  </si>
  <si>
    <t>Мини-игротека</t>
  </si>
  <si>
    <t>Еженедельная сессия по настольно-ролевой игре  "Подземелья и Драконы"</t>
  </si>
  <si>
    <t>Очередная сессия длительной партии в настольно-ролевую игру жанра фэнтези "Подземелья и Драконы".</t>
  </si>
  <si>
    <t>В каникулярный период для студенческого актива КБГУ проведен игровой день с играми "Ярость Дракулы", "Игра престолов. Второе издание".</t>
  </si>
  <si>
    <t xml:space="preserve">Квалификационный мини турнир по UFC4 </t>
  </si>
  <si>
    <t xml:space="preserve">Проведен квалификационный мини турнир по UFC 4 среди студентов КБГУ. </t>
  </si>
  <si>
    <t>Партия в настольную игру  "Древний Ужас"</t>
  </si>
  <si>
    <t>Викторина "Своя игра: в мире литературы"</t>
  </si>
  <si>
    <t xml:space="preserve">В культурном центре им. Ю.Х. Темирканова прошла викторина «Своя игра: В мире литературы». Участники отвечали на вопросы, которые позволили им проверить свои знания в литературе. </t>
  </si>
  <si>
    <t xml:space="preserve">Студенческое самоуправление </t>
  </si>
  <si>
    <t xml:space="preserve">Встреча Главы Кабардино-Балкарской Республики со студенческой молодежью </t>
  </si>
  <si>
    <t xml:space="preserve">Региональный </t>
  </si>
  <si>
    <t xml:space="preserve">КБР, г. Нальчик, КБГУ, ул. Чернышевского, 173, Темиркановский зал </t>
  </si>
  <si>
    <t>Участие в мероприятии</t>
  </si>
  <si>
    <t xml:space="preserve">Культурно-творческое </t>
  </si>
  <si>
    <t>Студенческий совет КБГУ</t>
  </si>
  <si>
    <t>Помощь в организации мероприятия</t>
  </si>
  <si>
    <t>Студенческая молодежь встретилась с главой Кабардино-Балкарской Республики Казбеком Коковым.  
25 января в центре культуры им. Х.С. Темирканова КБГУ, в день празднования российского студенчества, Казбек Валерьевич ответил на самые важные вопросы будущих специалистов в разных областях, выдающихся спортсменов, волонтеров, участников СВО, деятелей медийной сферы и молодых ученых всех вузов и колледжей КБР. 
Студенты затронули многие темы, в числе которых добровольческие движения, студенческие отряды, экологические проекты, а также деятельность молодежных информационных пространств.   
Глава нашей республики поздравил студентов и отметил важность развития молодежи, выразив открытость и готовность к новым идеям внутри региона.  
Встреча завершилась общей фотографией на фоне главного корпуса КБГУ им. Х.М. Бербекова.</t>
  </si>
  <si>
    <t>Выставка тематических интерактивных площадок от студенческих советов структурнвх подразделений КБГУ ко Дню российского студенчества</t>
  </si>
  <si>
    <t xml:space="preserve">В КБГУ им. Х.М. Бербекова отпраздновали День российского студенчества.  Программа мероприятий объединила студентов всех структурных подразделений и способствовала созданию ярких и запоминающихся впечатлений.  
В главном корпусе вуза можно было наблюдать выставку фоторабот из истории студенчества КБГУ, тематические интерактивные площадки от студенческих советов структурных подразделений вуза, а также фотозону от стажеров проекта «Диджитал тим».  Наши площадки сегодня посетили министр просвещения и науки Анзор Езаов, министр по делам молодежи Азамат Люев и и.о ректора КБГУ Юрий Альтудов. Все студенеские советы огранизовали свои стедны и альтернативные площадки: участники ярмарки могли попробовать себя в роли следователя, врача, психолога, педагога и т.д. </t>
  </si>
  <si>
    <t>Выставка фоторабот из биографии  студенчества КБГУ "Студенческий путь" ко Дню российского студенчества</t>
  </si>
  <si>
    <t>В КБГУ им. Х.М. Бербекова отпраздновали День российского студенчества. Программа мероприятий объединила студентов всех структурных подразделений и способствовала созданию ярких и запоминающихся впечатлений. В главном корпусе вуза можно было наблюдать выставку фоторабот из истории студенчества КБГУ, тематические интерактивные площадки от студенческих советов структурных подразделений вуза, а также фотозону от стажеров проекта «Диджитал тим». Площадки посетили министр просвещения и науки Анзор Езаов, министр по делам молодежи Азамат Люев и и.о ректора КБГУ Юрий Альтудов. На фотовыставке представлены фотографии из коллекции университета с первых лет его работы.</t>
  </si>
  <si>
    <t>Зона моментальной печати от стажеров проекта "Диджитал тим" ко Дню российского студенчества</t>
  </si>
  <si>
    <t xml:space="preserve">В КБГУ им. Х.М. Бербекова отпраздновали День российского студенчества. Программа мероприятий объединила студентов всех структурных подразделений и способствовала созданию ярких и запоминающихся впечатлений. В главном корпусе вуза любой желающий мог сфотографиоваться у студенческой фотозоны и получить в течение 10 минут готовые фото. Данная площадка-альтернатива всеми извествной фотобудки, но со своими преимуществами, такими как профессиональный фотограф, возможность выбрать фотографии из сделанной серии. </t>
  </si>
  <si>
    <t>Встреча студентов с ректором КБГУ ко Дню российского студенчества</t>
  </si>
  <si>
    <t>В центре общественных инициатив КБГУ 25 января собрались одни из самых ярких представителей студенческого актива университета.  
По случаю празднования Дня российского студенчества и.о. ректора КБГУ Юрий Альтудов провел встречу с талантливой молодежью всех структурных подразделений нашего вуза.  
Студенты получили возможность задать самые актуальные вопросы, выразить благодарность и предложить для реализации новые проекты. В ходе встречи были затронуты темы, касающиеся заинтересованности вуза в исследованиях молодых ученых, деятельности перспективных спортсменов и поддержки культурно-творческих объединений. Кроме этого, обсуждались вопросы материальной поддержки студентов, участвовавших в СВО. 
В конце встречи Юрий Камбулатович сделал памятную фотографию с участниками встречи.</t>
  </si>
  <si>
    <t>26.01.2024-28.01.2024</t>
  </si>
  <si>
    <t xml:space="preserve">Зимний лагерь для иностранных обучающихся </t>
  </si>
  <si>
    <t>УМПиВР КБГУ, клуб интернациональной дружбы КБГУ</t>
  </si>
  <si>
    <t>В ЭУНК КБГУ состоялся выездной лагерь для иностранных обучающихся КБГУ. Программа мероприятия включала лекцию об истории и традициях КБГУ с параллельным переводом на английский, альтернативные и спортивные площадки, знакомство с Приэльбрусьем.</t>
  </si>
  <si>
    <t>Коллаборация студенческих клубов "Кутюрье от мира кино"</t>
  </si>
  <si>
    <t>Кино клуб КБГУ, клуб о моде КБГУ "Savoir"</t>
  </si>
  <si>
    <t>Партия в настольную игру  "Эволюция"</t>
  </si>
  <si>
    <t>Партия в настольные игры:  "Русский Манчкин", "Манчкин 7", "Манчкин 9"</t>
  </si>
  <si>
    <t>Актив клуба настольных игр провел для студентов встречу по настольной игре "Эволюция", которая основана на теории Дарвина.</t>
  </si>
  <si>
    <t>Актив клуба настольных игр провел для студентов встречу по настольной игре "Древний Ужас", это настольная игра по мотивам мифов Г. Ф. Лавкрафта и вдохновлённая игрой «Ужас Аркхема».</t>
  </si>
  <si>
    <t>Актив клуба настольных игр провел ежемесячную сессию длительной партии в настольно-ролевую игру жанра фэнтези "Подземелья и Драконы" в жанре фэнтези.</t>
  </si>
  <si>
    <t>Актив клуба настольных игр провел для студентов встречу по настольной игре "Манчкин" по следующим видам: "Русский Манчкин", "Манчкин 7", "Манчкин 9".</t>
  </si>
  <si>
    <t>Партия в настольную игру  "Reigns"</t>
  </si>
  <si>
    <t xml:space="preserve">Актив клуба настольных игр провел для студентов встречу по настольной игре "Reigns". Данная игра направлена на развитие фантазии и умение коммуницировать. В игре Reigns, созданной по мотивам компьютерной игры, участники примерили на себя роль Короля и его советников. Им предстояло сохранить баланс сил в королевстве и выполнить свои тайные цели. </t>
  </si>
  <si>
    <t>КБГУ, станция переливания крови</t>
  </si>
  <si>
    <t>Станцией переливания крови организована акция по сдаче крови, в которой приняли участие студенты волонтерского центра КБГУ.</t>
  </si>
  <si>
    <t>Гражданское</t>
  </si>
  <si>
    <t>Донорская акция</t>
  </si>
  <si>
    <t>Туристический клуб КБГУ "Papaha Travel"</t>
  </si>
  <si>
    <t>Экскурсионный выезд в Приэльбрусье</t>
  </si>
  <si>
    <t>КБР, курорт "Эльбрус"</t>
  </si>
  <si>
    <t>Организован экскурсионный выезд в Приэльбрусье. Участники узнали о культуре и истории народов Кабардино-Балкарской республики, познамились с новыми туристическими маршрутами, научились кататься на сноуборде, лыжах и санях. Желающие освоили навыки верховой езды на лошадях.</t>
  </si>
  <si>
    <t>20.01.2024-21.01.2024</t>
  </si>
  <si>
    <t>Организован экскурсионный выезд в Приэльбрусье. Участники узнали о культуре и истории народов Кабардино-Балкарской республики, познамились с новыми туристическими маршрутами, научились кататься на сноуборде, лыжах и санях. Желающие освоили навыки верховой езды на лошадях. Также провели просмотр х/ф с дальнейшим его обсуждением.</t>
  </si>
  <si>
    <t xml:space="preserve">КБР, г. Нальчик, КБГУ, ул. Чернышевского, 173, спортивный зал </t>
  </si>
  <si>
    <t>Спортивная игра "Вышибалы"</t>
  </si>
  <si>
    <t xml:space="preserve">Среди студентов структурных подразделений прошла первая битва за титул Чемпион КБГУ по вышибалам! С первого взгляда - командная игра, однако, каждый каждому соперник. В результате всех игр выявился победитель - студент ИМТиИГ Георгов Инал, который получил памятный приз: футболка с символикой КБГУ, значок от студсовета и трекер-часы.  </t>
  </si>
  <si>
    <t>Интеллектуальная викторина "Бред или правда"</t>
  </si>
  <si>
    <t>Студенческий совет ИППиФСО КБГУ</t>
  </si>
  <si>
    <t xml:space="preserve">Студенческим клубом о моде совместно со студенческим кино клубом подготовлена и проведена блиц игра, включающая 5 этапов. 
</t>
  </si>
  <si>
    <t>Партия в настольную игру  "Письма призрака"</t>
  </si>
  <si>
    <t>Партия в настольные игры  "Эвердейл",  "Древний ужас"</t>
  </si>
  <si>
    <t>Партия в настольные игры  "Экивоки", "Чужая планета"</t>
  </si>
  <si>
    <t>Партия в настольные игры  "Цитадели", "Каркасон"</t>
  </si>
  <si>
    <t>Комплекс мероприятий, посвященный празднованию Дня российского студенчества</t>
  </si>
  <si>
    <t>Тренировочная сессия по "CS 2"</t>
  </si>
  <si>
    <t>КБР, г. Нальчик, КБГУ, ул. Чернышевского, 173, учебный корпус №3, кабинет № 007</t>
  </si>
  <si>
    <t>Проведена тренировочная сессия для актива киберспортивного клуба КБГУ, которая была направлена на поддержание турнирной формы игроков.</t>
  </si>
  <si>
    <t>Киберспортивный клуб КБГУ "Alpacas"</t>
  </si>
  <si>
    <t>Турнир от колледжа IThub по "CS 2"</t>
  </si>
  <si>
    <t>Муниципальный</t>
  </si>
  <si>
    <t>КБР, г. Нальчик, колледж Ithub</t>
  </si>
  <si>
    <t>Колледж Ithub, киберспортивный клуб КБГУ "Alpacas"</t>
  </si>
  <si>
    <t xml:space="preserve">КБР, г. Нальчик, КБГУ, ул. Чернышевского, 173, зал общественных инициатив </t>
  </si>
  <si>
    <t>КБР, г. Нальчик, КБГУ, ул. Чернышевского, 173, холл второго этажа главного корпуса КБГУ</t>
  </si>
  <si>
    <t>Команда волонтерского центра оказала помощь в органтзации дня Российского студенчества: встреча гостей, рассадка в зале, работа за кулисами, работа на выставке, организация встречи студентов с ректором вуза.</t>
  </si>
  <si>
    <t>Проведен турнир по дисциплине "CS2" среди киберспортивных команд образовательных организаций КБР.</t>
  </si>
  <si>
    <t>Партия в шахматы и разговорный вечер</t>
  </si>
  <si>
    <t>КБР, г. Нальчик, КБГУ, ул. Толстого, 179</t>
  </si>
  <si>
    <t>Партия в настольные игры "Игра Престолов. Второе издание"</t>
  </si>
  <si>
    <t>Для студентов КБГУ проведена  интересная командная викторина от студсовета ИППиФСО, суть которой заключалась в том, что игроки должны отгадать является ли озвученное предложение фактом или абсурдом.</t>
  </si>
  <si>
    <t>Проведено мероприятие в коллаборации двух студенческих клубов с участием иностранных студентов. На мероприятии иностранным студентам была прочтена лекция по основам игры в шахматы, а также провели несколько практических партий.</t>
  </si>
  <si>
    <t>Клуб настольных игр КБГУ, клуб интернациональной дружбы КБГУ</t>
  </si>
  <si>
    <t>Научный квест «Найди меня»</t>
  </si>
  <si>
    <t xml:space="preserve">Научный квест «Найди меня» проходил на базе Кабардино-Балкарского университета и включал в себя прохождение 8 этапов, которые являлись практическим путем проверки знаний и логики. Каждый участник команды-победителя получил именные футболки научного клуба.   </t>
  </si>
  <si>
    <t>Научный клуб «Maxwell» КБГУ</t>
  </si>
  <si>
    <t>Собеседование. Набор в команду</t>
  </si>
  <si>
    <t>КБР, г. Нальчик, КБГУ, ул. Чернышевского, 173, территория кампуса</t>
  </si>
  <si>
    <t>Акция к международному дню книгодарения</t>
  </si>
  <si>
    <t>Тренировочный сбор по CS2</t>
  </si>
  <si>
    <t>Памятное мероприятие, посвященное 35-ой годовщине вывода советских войск из Республики Афганистан</t>
  </si>
  <si>
    <t>КБР, г. Нальчик, Ореховая роща</t>
  </si>
  <si>
    <t>Памятное мероприятие, посвященное 35-ой годовщине вывода советских войск из Республики Афганистан состоялось сегодня в г. Нальчике.   
У памятника Воинам-интернационалистам, который расположен в парковой зоне Ореховой рощи, состоялось торжественное возложение цветов.   
В мероприятии приняли участие и.о. проректора КБГУ Султан Геккиев, председатель совета ветеранов Хасан Шурдумов, а также сотрудники и студенты университета. 
Присутствующие вспоминали ветеранов боевых действий – участников специальных военных операций, с честью выполнивших свой долг перед Родиной.</t>
  </si>
  <si>
    <t>Центр по профилактике экстремизма и асоциального поведения  в молодежной среде КБГУ</t>
  </si>
  <si>
    <t>Литературный клуб КБГУ</t>
  </si>
  <si>
    <t>Участниками клуба было организованно собрание, направленное на расширение членов команды актива клуба.</t>
  </si>
  <si>
    <t xml:space="preserve">Активом клуба проведена тренировочная сессия по CS2, направленная на поддержание турнирной формы игроков. </t>
  </si>
  <si>
    <t>Активом клуба проведен квалификационный мини турнир по UFC 4, победитель которого будет отобран на общеуниверситетский турнир.</t>
  </si>
  <si>
    <t>Партия в настольную игру "Бункер"</t>
  </si>
  <si>
    <t>Партия в настольные игры "Ярость Дракулы", "Письма призраку" и "Нечто: из глубокой бездны"</t>
  </si>
  <si>
    <t>Партия в настольную игру "Спортивная Мафия"</t>
  </si>
  <si>
    <t>Турнир по классическим шахматам</t>
  </si>
  <si>
    <t>КБР, г. Нальчик, КБГУ, ул. Толстого, 170</t>
  </si>
  <si>
    <t>Клуб настольных игр КБГУ, Клуб интернациональной дружбы КБГУ</t>
  </si>
  <si>
    <t>Актив клуба настольных игр провел психологическую игру "Бункер" для студентов разных структурных подразделений.</t>
  </si>
  <si>
    <t xml:space="preserve">Проведен шахматный турнир, организованный Клубом настольных игр совместно с Клубом интернациональной дружбы. Победу в турнире одержал Камболов Каурбек, второе и третье места заняли Али Юсеф Юсри и Елфар Еслам Мостафа соответсвенно. Победитель был награжден кубком, а все трое призеров - стилизованными медалями. </t>
  </si>
  <si>
    <t>Показательный турнир КБГУ по Армрестлингу, посвященный празднованию 23 февраля "День защитника Отечества"</t>
  </si>
  <si>
    <t>Спортивно-патриотический клуб КБГУ "LIME"</t>
  </si>
  <si>
    <t xml:space="preserve">В КБГУ прошел турнир по армрестлингу среди студентов всех институтов, посвященный Дню защитника Отечества. 
В номинации до 65 кг победу одержал Ислам Алтуев, студент 2 курса КИТиЭ направления «Обеспечение информационной безопасности»; 
До 75 кг – Омар Мамукоев, студент 2 курса ИПЭиФ направления «Юриспруденция»; 
До 85 кг – Ахмед Тлимахов, студент 4 курса ИИИиЦТ направления «Информационная безопасность»; 
До 95 кг – Камал Темукаев, студент 2 курса ИПЭиФ направления «Юриспруденция»;  
В номинации «95+» победил Бабир Хасанов, студент 3 курса ИАСиД направления «Строительство».  </t>
  </si>
  <si>
    <t>Возложение цветов к памятнику студентам, преподавателям и сотрудникам Кабардино-Балкарского госуниверситета им. Х.М. Бербекова, павшим в годы Великой Отечественной войны 1941-1945.</t>
  </si>
  <si>
    <t>УМПиВР КБГУ, ППОО КБГУ, Студенческий совет КБГУ</t>
  </si>
  <si>
    <t>В сквере вуза состоялось возложение цветов к памятнику студентам, преподавателям и сотрудникам Кабардино-Балкарского госуниверситета им. Х.М. Бербекова, павшим в годы Великой Отечественной войны 1941-1945.
Мероприятие посвящено празднованию Дня защитника Отечества.</t>
  </si>
  <si>
    <t>Встреча студентов КБГУ с председателем Нальчикского совета ветеранов войны, труда, Вооруженных сил и правоохранительных органов М.К.Абдулаевым</t>
  </si>
  <si>
    <t>В гостях у Кабардино-Балкарского госуниверситета им. Х.М. Бербекова был председатель Нальчикского совета ветеранов войны, труда, Вооруженных сил и правоохранительных органов Мустафа Камалович Абдулаев. Встреча со студентами и сотрудниками проходила в центре культуры им. Х.С. Темирканова. Мероприятие посвящено празднованию Дня защитника Отечества.</t>
  </si>
  <si>
    <t>На сцене киноконцертного зала им. А.Н. Сокурова проходило невероятное захватывающее действо – семь настоящих суперменов боролись за звание «Мистер КБГУ – 2024».
Яркое долгожданное шоу не могло состояться без команды организаторов из управления по молодежной политике и воспитательной работе КБГУ. Проделана огромная подготовительная работа: кастинг участников конкурса, съемки видеовизиток, привлечение спонсоров, утверждение состава жюри, подбор музыки, декораций и т.д. За «кадром» остались долгие репетиции и занятия «мистеров» с педагогами, хореографами, чтобы в конечном результате болельщики увидели классные выступления своих фаворитов. Выступления конкурсантов оценивало компетентное жюри, в состав которого вошли директор  Центра культурного развития г.о. Нальчик Саида Жанимова, победитель Кубка мира по бодибилдингу в 2023 году, тренер Артур Вакашев, фотограф Джамиля Кучукова, блогер, ведущий и шоумен Мухамед Тлизамов, участник шоу-конкурса «Мистер КБГУ – 2015» Ильяс Мусуков. Приз зрительских симпатий достался Тамирлану Асанову (ПК ИППиФСО). Звание «Вице-мистер КБГУ» получил Абдулла Оздоев (ИИЭиР). «Мистером КБГУ – 2024» стал Султан Кишев (ИИИиЦТ).</t>
  </si>
  <si>
    <t>Шоу конкурс интеллекта и творчества "Мистер КБГУ"</t>
  </si>
  <si>
    <t>Партия в настольные игры "Цитадели", "Письма призраку" и "Звёздные империи"</t>
  </si>
  <si>
    <t>Партия в настольную игру  "Манчкин"</t>
  </si>
  <si>
    <t>Настоль ролевая игра "D&amp;D.Lite 5"</t>
  </si>
  <si>
    <t>очный</t>
  </si>
  <si>
    <t>Центр физического воспитания, развития студенческого спорта и туризма КБГУ</t>
  </si>
  <si>
    <t>Зимний студенческий спортивно-патриотический лагерь «Эльбрус»</t>
  </si>
  <si>
    <t>Лагерь проходил на базе ЭУНК КБГУ для студентов. В рамках лагеря проводились различные активности: спортивные игры (вышибалы и голбол),  настольный теннис и альтернативные игровые площадки. Был экскурсионный поход на поляну Чегет и Шхельду. Провелась патриотческая акция "КБГУ за президента" на станции "Мир".</t>
  </si>
  <si>
    <t>Партия в настольную игру "Эпичные схватки боевых магов: Лютый дебош в Адской школе"</t>
  </si>
  <si>
    <t>Встреча с доверенным лицом кандидата в президенты РФ Владимира Путина</t>
  </si>
  <si>
    <t>В центре культуры им. Х.С. Темирканова прохошла встреча с доверенным лицом кандидата в президенты РФ Владимира Путина, членом совета при президенте РФ по межнациональным отношениям, членом попечительского совета КБГУ, доктором экономических наук, профессором Хаути Сохроковым.</t>
  </si>
  <si>
    <t>Памятное мероприятие, посвященное 80-летию со дня депортации балкарского народа в Среднюю Азию и Казахстан.</t>
  </si>
  <si>
    <t>Центр балкарской культуры им. К.С. Отарова КБГУ</t>
  </si>
  <si>
    <t>Обсуждение книг членами литературного клуба КБГУ</t>
  </si>
  <si>
    <t>Литературный клуб провел обсуждение произведения О.Уайлда "Портрет Дориана Грея"</t>
  </si>
  <si>
    <t xml:space="preserve">В центре культуры им. Х.С. Темирканова состоялось памятное мероприятие, посвященное 80-летию со дня трагических событий – депортации балкарского народа в Среднюю Азию и Казахстан. В рамках программы активисты Центра балкарской культуры им. К.С. Отарова исполняли песни и читали стихотворения на родном языке. </t>
  </si>
  <si>
    <t>КБР, г. Нальчик. Яхогоева 157, кофейня "Sreda book"</t>
  </si>
  <si>
    <t>Кино клуб КБГУ</t>
  </si>
  <si>
    <t>Кино клуб КБГУ, Клуб настольных игр КБГУ</t>
  </si>
  <si>
    <t>Проведен онлайн-просмотр фильма "Присцилла: Элвис и я" Софии Коппол. Фильм был включен в серию онлайн-просмотров на 2024 год.</t>
  </si>
  <si>
    <t>Психологический клуб КБГУ</t>
  </si>
  <si>
    <t>Научный стендап</t>
  </si>
  <si>
    <t>Психологическим клубом проведено мероприятие "Наунчый стендап". Мероприятие включало в себя две лекции от организаторов, игры и розыгрыш сертификатов. На мероприятие был приглашен специальный гость - Эздекова Мадина Кошевна - представитель торгового дома "Эздеч". В рамках мероприятия приглашенный гость поделился своим опытом предпринимательской деятельности и рассказал о психологической состовляющей ведения бизнеса. Участниками мероприятия стали студенты КБГУ.</t>
  </si>
  <si>
    <t>Партия в настольную игру  "Письма призраку"</t>
  </si>
  <si>
    <t>Партия в настольную игру  "Эвердейл"</t>
  </si>
  <si>
    <t>Партия в настольную игру  "Бункер"</t>
  </si>
  <si>
    <t>Волонтеры оказали помощь в организации мероприятия: встреча гостей, рассадка, работа за кулисами.</t>
  </si>
  <si>
    <t>Предпринимательский турнир "Бизнес Квиз"</t>
  </si>
  <si>
    <t>06.03.2024-07.03.2024</t>
  </si>
  <si>
    <t>В 501 аудитории СГИ проходил большой предпринимательский турнир "Бизнес квиз" для студентов КБГУ, в котором волонтеры центра оказали помощь в организации.</t>
  </si>
  <si>
    <t>Праздничный концерт, посвященный Международному женскому</t>
  </si>
  <si>
    <t>В КБГУ состоялся праздничный концерт, посвященный Международному женскому дню. Волонтеры помогали в организации и раздавали цветы дамам.</t>
  </si>
  <si>
    <t>В 403 аудитории ИПЭиФ и Темиркановском зале проходил большой предпринимательский турнир "Бизнес квиз" для студентов КБГУ, в котором волонтеры центра оказали помощь в организации.</t>
  </si>
  <si>
    <t>Партия в настольную игру "Нечто: из глубокой бездны"</t>
  </si>
  <si>
    <t>КБР, г. Нальчик, Государственная национальная библиотека КБР им. Т. К. Мальбахова</t>
  </si>
  <si>
    <t>Турнир по мини-футболу "Мяч Дружбы"</t>
  </si>
  <si>
    <t xml:space="preserve">Клуб интернациональной дружбы КБГУ, спортивно-патриотический клуб КБГУ "Лайм" </t>
  </si>
  <si>
    <t>Сотрудники и студенты КБГУ почтили память погибших в результате террористического акта в Крокус Сити Холле у импровизированного траурного мемориала в г. Нальчик на площади Согласия.</t>
  </si>
  <si>
    <t>УМПиВР КБГУ, Студенческий совет КБГУ, ППОО КБГУ</t>
  </si>
  <si>
    <t>КБР, г. Нальчик, площадь Согласия</t>
  </si>
  <si>
    <t>Возложение цветов к траурному мемориалу памяти погибших в террористическом акте в Кроку Сити Холл.</t>
  </si>
  <si>
    <t>Вечер национальной музыки в Центре адыгской культуры им. А.А. Ципинова с участием иностранных обучающихся</t>
  </si>
  <si>
    <t>Обсуждение по теме "Мода и Стиль"</t>
  </si>
  <si>
    <t>Клуб о моде "Savoir", Клуб интернациональной дружбы КБГУ</t>
  </si>
  <si>
    <t xml:space="preserve">В общежитии №4 состоялось обсуждение с участнием студентов разных структурных подразделений КБГУ. Обсудили интересующие вопросы о моде, разобрали любимые цвета и разные стили в одежде. Обсудили модные дома и последние коллекции любимых дизайнеров.  </t>
  </si>
  <si>
    <t>Разговорная встреча на английском языке со старшеклассниками МКОУ «Лицей №2» г.о. Нальчик</t>
  </si>
  <si>
    <t>Научно-образовательное</t>
  </si>
  <si>
    <t>Клуб интернациональной дружбы КБГУ, кафедра английского языка СГИ КБГУ</t>
  </si>
  <si>
    <t xml:space="preserve">Совместное мероприятие клуба интернациональной дружбы и кафедры английского языка социально-гуманитарного института. По инициативе зав.кафедрой Дзасежевой Л.Х.  были приглашены старшеклассники профильных классов лицея №2 г.о. Нальчик. В программу мероприятия входило знакомство с культурами иностранных государств, представленных в КБГУ, а также тематическая викторина. </t>
  </si>
  <si>
    <t>Клуб интернациональной дружбы КБГУ, Центр адыгской культуры КБГУ</t>
  </si>
  <si>
    <t xml:space="preserve">Совместное мероприятие клуба интернациональной дружбы  с Центром адыгской культуры. Авторами и исполнтелями программы музыкального вечера выступили Зауркан Мазло, Инал Битоков, Алим Шанибов. В программу мероприятия вошли традиционная адыгская музыка, национальные танцы, обсуждения на актуальные в контексте развития национальной культуры темы. Участники - студенты КБГУ из разных стран, в том числе этнические адыги из Сирии и Иордании. </t>
  </si>
  <si>
    <t>Концерт Государственного фольклорно-этнографического ансамбля танца «Балкария»</t>
  </si>
  <si>
    <t>Патриотический концерт, посвящённый 10-летию со дня воссоединения Крыма с Россией</t>
  </si>
  <si>
    <t>КБР, г. Нальчик, Государственный концертный зал</t>
  </si>
  <si>
    <t>В Государственном музыкальном театре прошел патриотический концерт, посвящённый 10-летию со дня воссоединения Крыма с Россией. В числе зрителей студенты и сотрудники КБГУ им. Х.М. Бербекова.</t>
  </si>
  <si>
    <t>Прибытие тематического поезда Минобороны РФ «Сила в правде»</t>
  </si>
  <si>
    <t>КБР, г. Нальчик ж/д вокзал</t>
  </si>
  <si>
    <t>По поручению и.о. ректора вуза Юрия Альтудова делегация КБГУ во главе с заместителем начальника Управления по молодежной политике и воспитательной работе Резуаном Кумыковым встретила тематический поезд Минобороны РФ «Сила в правде».
Сам состав уникален: в вагонах – музейные залы, посвященные специальной военной операции, а на платформах – трофейная техника. 
Все желающие смогли увидеть выставку вооружений, услышать духовой оркестр, побывать в точках по сборке автоматов и парашютов, попробовать армейской каши из полевой кухни.</t>
  </si>
  <si>
    <t>В КБГУ им. Х.М. Бербекова состоялся концерт, посвященный Международному женскому дню.   
Накануне праздника поздравить дам КБГУ пришли народные артисты КБР Алим Газаев, Черим Нахушев и Султан Ураган, а также государственные ансамбли «Терские казаки», «Кабардинка» и «Балкария».  
В конце мероприятия и.о. ректора Юрий Альтудов поблагодарил артистов за поддержку и внимание к университету.</t>
  </si>
  <si>
    <t>г. Сочи</t>
  </si>
  <si>
    <t>Всемирный фестиваль молодёжи 2024</t>
  </si>
  <si>
    <t>Студенты КБГУ принимали участие во Всемирном фестивале молодежи.
Также по поручению и.о. ректора Юрия Альтудова,  накануне вечером в г. Сочи Султан Геккиев встретился со студентами КБГУ – участниками  Всемирного фестиваля молодежи. Приятным сюрпризом для собравшихся стала возможность пообщаться с ректором в режиме «онлайн». Обратившись к студентам с приветствием, Юрий Камбулатович отметил, что форум является одним из главных событий этого года, а участие нашей делегации назвал достижением для всего университета. Ребята в свою очередь поделились впечатлениями от первых дней пребывания на ВМФ-2024 и рассказали о предстоящей программе.
КБГУ на мероприятии представили 33 человека: 27 участников и 6 волонтеров. В качестве участников в г. Сочи также были и.о. проректора по МПВР и СВ Геккиев С.З. и начальник управления по молодежной политике и воспитательной работе Балов О.Р.</t>
  </si>
  <si>
    <t>Экспертно-аналитическая сессия в рамках проекта "Смыслы Кавказа"</t>
  </si>
  <si>
    <t>В культурном центре им. Х.С. Темирканова состоялась экспертно-аналитическая сессия в рамках проекта "Смыслы Кавказа".</t>
  </si>
  <si>
    <t>29.02.2024-07.03.2024</t>
  </si>
  <si>
    <t>Студенты высшей школы международного образования и социально-гуманитарного института посетили научно-образовательный центр русского языка и культуры КБГУ.
Руководитель центра Надежда Чайка рассказала ребятам о русских народных обычаях, обрядах, об истории и культуре. Иностранные обучающиеся и студенты филологического и лингвистического направлений познакомились с экспозицией центра, в которой собраны предметы домашнего обихода, верхняя одежда, кухонная утварь и другие вещи крестьянского быта.</t>
  </si>
  <si>
    <t>Клуб интернациональной дружбы КБГУ, НОЦ русского языка и культуры КБГУ</t>
  </si>
  <si>
    <t>Ознакомительная встреча иностранных обучающихся в НОЦ русского языка и культуры КБГУ</t>
  </si>
  <si>
    <t>Выступление в творческой мастерской им. А.Н. Сокурова  выступил Государственный фольклорно-этнографический ансамбль танца «Балкария» в КБГУ.</t>
  </si>
  <si>
    <t xml:space="preserve">Патриотическая акция «КБГУ за президента»
</t>
  </si>
  <si>
    <t>КБР, Приэльбрусье, станция "Мир"</t>
  </si>
  <si>
    <t>«КБГУ за президента» — под таким лозунгом студенты вуза провели патриотическую акцию у подножия горы Эльбрус в поддержку Владимира Путина на президентских выборах.</t>
  </si>
  <si>
    <t>Литературный вечер с  обсуждением книги Джейн Остен "Гордость и предубеждение"</t>
  </si>
  <si>
    <t>Проведен литературный вечер с обсуждением произведения Джейн Остен "Гордость и предубеждение".</t>
  </si>
  <si>
    <t>Партия в настольные игры "Нечто: из глубокой бездны", "Письма призраку", "Взрывные котята", "Гномы-Вредители"</t>
  </si>
  <si>
    <t>Партия в настольные игры "Письма призраку", "Pandemic", "Гномы-Вредители"</t>
  </si>
  <si>
    <t xml:space="preserve">Организация мероприятия </t>
  </si>
  <si>
    <t>Онлайн-просмотр фильма "Банши Инишерина" с активистами клуба</t>
  </si>
  <si>
    <t>Проведен онлайн-просмотра фильма "Банши Инишерина" Мартина МакДоны, включенного в серию просмотров на 2024 год.</t>
  </si>
  <si>
    <t>Онлайн-просмтор фильма "Присцилла: Элвис и я" с активистами клуба</t>
  </si>
  <si>
    <t>Региональные отборочные на ВКСЛ</t>
  </si>
  <si>
    <t>Федерация киберспорта КБР</t>
  </si>
  <si>
    <t>КБР, г. Нальчик, ул. Чернышевского, 177</t>
  </si>
  <si>
    <t>Команда киберспортивного клуба КБГУ приняла участеи в региональном этапе ежегодного студенческого турнира ВКСЛ, в котором одержали уверенную победу.</t>
  </si>
  <si>
    <t>Торжественный конкерт "Казначейство - дружная семья"</t>
  </si>
  <si>
    <t>КБР, г. Нальчик, ул. Чернышевского 173, Центр кульутры им. Х.С. Темирканова</t>
  </si>
  <si>
    <t>На базе КБГУ проведено мероприятие УФК по Кабардино-Балкарской Республике в рамках празднования Года семьи в России. Подготовлена небольшая концертная программа с участием ВС «Иоканта», АСЭТ «Арабеск», ГФЭАТ «Балкария», ГФАПП «Терские казаки», Бековых Азамата и Ренаты. КБГУ оказал помощь в предоставлении площадки, волонтеров, а также организационных моментов.</t>
  </si>
  <si>
    <t xml:space="preserve">КБР, Приэльбрусье </t>
  </si>
  <si>
    <t>РСО-Аланаия, Кармадонское ущелье</t>
  </si>
  <si>
    <t>Экскурсионный выезд в Кармадонское ущелье</t>
  </si>
  <si>
    <t>Организован экскурсионный выезд в Приэльбрусье, в рамках которого участники узнали больше о культуре и истории народов КБР, познамились с новыми туристическими маршрутами, научились кататься на сноуборде, лыжах и санях. Посетили парк Альпак.</t>
  </si>
  <si>
    <t>Организован экскурсионный выезд в РСО-Алания, в рамках которого участники узнали больше о культуре и истории народов Осетиии, познамились с новыми туристическими маршрутами Кармандоского ущелья.</t>
  </si>
  <si>
    <t xml:space="preserve">Экскурсионный выезд в Дигорское ущелье </t>
  </si>
  <si>
    <t xml:space="preserve">РСО-Алания, Дигорское ущелье </t>
  </si>
  <si>
    <t>Организован экскурсионный выезд в РСО-Алания, в рамках которого участники узнали больше о культуре и истории народов Осетии, познамились с новыми туристическими маршрутами Дигорского ущелья.</t>
  </si>
  <si>
    <t>Организована коллаборация Клуба интернациональной дружбы со Спортивно-патриотическим клубом "Lime". В турнире по классическому мини-футболу приняли участие пять команд с иностранными обучающимися в составе. Победу одержала команда "Магриб".</t>
  </si>
  <si>
    <t>КБР, г. Нальчик, ФСК КБГУ, ул. Толстого, 184</t>
  </si>
  <si>
    <t>С 1 по 2 апреля 2023 г. в ФСК КБГУ прошли соревнования по волейболу среди двеушек XL Юбилейной Спартакиады студентов и аспирантов КБГУ. В общем в соревновании участвовали 80 человек. Определены победители и призеры, где 1 место взяли ИППиФСО, 2 место - МА, 3 место - МК</t>
  </si>
  <si>
    <t xml:space="preserve">Физическое </t>
  </si>
  <si>
    <t>01.04.2024-02.04.2024</t>
  </si>
  <si>
    <t>С 3 по 5 апреля 2023 г. в ФСК КБГУ прошли соревнования по волейболу среди юношей XL Юбилейной Спартакиады студентов и аспирантов КБГУ. В общем в соревнованиях участвовали 110 студентов.</t>
  </si>
  <si>
    <t>03.04.2024-05.04.2024</t>
  </si>
  <si>
    <t>Разговорная встреча на русском языке</t>
  </si>
  <si>
    <t xml:space="preserve">Физическое, духовно-нравственное </t>
  </si>
  <si>
    <t>Турнир по волейболу среди иностранных студентов</t>
  </si>
  <si>
    <t>Проведена разговорная встреча на русском языке, посвященная обсуждению повседневной жизни студентов. На встрече были подведены итоги заочного конкурса творческих работ "Интерклуб в твоей жизни".</t>
  </si>
  <si>
    <t>Турнир был организован при совместной коллаборации клубов. Участие приняли пять команд. Победу одержала команда "Eagles".</t>
  </si>
  <si>
    <t>Экскурсионный выезд в Чегемское ущелье</t>
  </si>
  <si>
    <t>КБР, Чегемское ущелье</t>
  </si>
  <si>
    <t>Организован экскурсионный выезд в Чегемское ущелье, участники совершили поход к водопадам, учились верховой езде, знакомились с национальной кухней.</t>
  </si>
  <si>
    <t>Конкурс ко дню поэзии</t>
  </si>
  <si>
    <t>Телеграмм канал клуба</t>
  </si>
  <si>
    <t>В честь дня поэзии литературным клубом был организован онлайн конкурс, в ходе которого студенты писали свои лирические и прозаические произведения на заданную тематику "Я непрочитанное письмо". Были определены три победителя, которым вручили памятные призы.</t>
  </si>
  <si>
    <t>Показ интерактивного фильма российско-казахского производства "Она сердится"</t>
  </si>
  <si>
    <t xml:space="preserve">Проведен показ интерактивного фильма российско-казахского производства "Она сердится", в котором зрители приняли непосредственное участие и влияли на сюжетные повороты и конечный исход фильма. </t>
  </si>
  <si>
    <t>УМПиВР КБГУ, Общество "Знание" КБР</t>
  </si>
  <si>
    <t>В центре культуры имени Х.С. Темирканова прошел показ документального фильма «Российский Кавказ. Три века созидания». 
После просмотра состоялось обсуждение кинокартины.</t>
  </si>
  <si>
    <t>Показ документального фильма «Российский Кавказ. Три века созидания».</t>
  </si>
  <si>
    <t>XL Юбилейная Спартакиада студентов и аспирантов КБГУ (мини футбол)</t>
  </si>
  <si>
    <t>XL Юбилейная Спартакиада студентов и аспирантов КБГУ (волейбол, мужской)</t>
  </si>
  <si>
    <t>XL Юбилейная Спартакиада студентов и аспирантов КБГУ (волейбол, женский)</t>
  </si>
  <si>
    <t>С 8 по 12 апреля 2023 г. в Физкультурно-спортивном комплексе КБГУ прошла студенческая спартакиада по мини-футболу в рамках XL Юбилейной Спартакиады студентов и аспирантов КБГУ.</t>
  </si>
  <si>
    <t>Тематический кинопоказ проекта Знание.Кино,
приуроченный к празднованию Дня Космонавтики</t>
  </si>
  <si>
    <t>2 мая вместе с проектом Знание.Кино Российского общества «Знание» прошел просмотр документального фильма «Юрий Гагарин. Семь лет одиночества».
В этом фильме отобрали несколько интересных историй, и вместе с друзьями Юрия Гагарина и очевидцами этих событий, попробовали поразмышлять о том, чем жил первый космонавт планеты после той самой минуты, которой он посвятил всю свою жизнь.
После показа фильма прошло обсуждение, где ребята могли поделиться своими мыслями и впечатлениями.</t>
  </si>
  <si>
    <t>22.04.2024-25.04.2024</t>
  </si>
  <si>
    <t>С 22 по 25 апреля 2024 года в КБГУ проходил фестиваль художественного творчества "Студенческая весна", где волонтеры центра оказали помощь в организации мероприятия в период првоедения всех творческих дней.</t>
  </si>
  <si>
    <t>Фестиваль художественного творчества студентов КБГУ им. Х. М. Бербекова "Студенческая весна-2024"</t>
  </si>
  <si>
    <t>22 апреля 2024 года стартовал фестиваль Студенческой весны. В этом году мероприятие прошло в новой для нынешних студентов локации-на плацу КБГУ. Кроме того в этом году появился ряд новых номинаций, таких как джазовое пение, вокально-инструментальный ансамбль, смешанные ансамбли, цирковое искусство, искусство сценического костюма и многое другое. В течение четырех дней студенты различных подразделений соперничали между собой за звание самого талантливого института.</t>
  </si>
  <si>
    <t>В культурном центре им. Х.С. Темирканова состоялся просмотр документального фильма «Соленые озера Крыма», который позволил прикоснуться к лечебным свойствам соленых озер полуострова, а также привлек внимание к развитию туризма в регионе.
Как сохранить уникальные озера с их лечебными грязями и солью? Короткий документальный фильм о нерукотворном богатстве Крыма
Встреча прошла в 14:30 в культурном центре им. Х.С. Темирканова.
После показа фильма прошло обсуждение, где студенты КБГУ смогли поделиться своими мыслями и впечатлениями.
Просмотр состоялся благодаря Знание.Кино Российского общества «Знание»</t>
  </si>
  <si>
    <t>Тематический кинопоказ проекта "Знание.Кино",
приуроченный кк 10-летию воссоединения
Крыма с Россией</t>
  </si>
  <si>
    <t>08.04.2024-16.04.2024</t>
  </si>
  <si>
    <t>XL Юбилейная Спартакиада студентов и аспирантов КБГУ баскетбол (женский)</t>
  </si>
  <si>
    <t>16.04.2024-17.04.2024</t>
  </si>
  <si>
    <t>С 16 по 17 апреля 2023 г. в ФСК КБГУ прошли соревнования по баскетюолу среди девушек XL Юбилейной Спартакиады студентов и аспирантов КБГУ. В общем в соревнованиях участвовали 60 студентов. Определены победители и призеры, где 1 место взяли ИППиФСО, 2 место - МК, 3 место - ИФиМ.</t>
  </si>
  <si>
    <t>XL Юбилейная Спартакиада студентов и аспирантов КБГУ баскетбол (мужской)</t>
  </si>
  <si>
    <t>С 18 по 23 апреля 2023 г. в ФСК КБГУ прошли соревнования по баскетюолу среди девушек XL Юбилейной Спартакиады студентов и аспирантов КБГУ. В общем в соревнованиях участвовали 110 студентов. Определены победители и призеры, где 1 место взяли ИППиФСО, 2 место - ИИЭиР, 3 место - ИИИиЦТ</t>
  </si>
  <si>
    <t>18.04.2024-23.04.2024</t>
  </si>
  <si>
    <t>XL Юбилейная Спартакиада студентов и аспирантов КБГУ настольный теннис (пары Ж и М)</t>
  </si>
  <si>
    <t xml:space="preserve">24 апреля 2023 г. в ФСК КБГУ прошли соревнования по настольному теннису среди юношей и девушек XL Юбилейной Спартакиады студентов и аспирантов КБГУ. В общем в соревнованиях участвовали 44 студента. </t>
  </si>
  <si>
    <t>XL Юбилейная Спартакиада студентов и аспирантов КБГУ бадминтон (женский)</t>
  </si>
  <si>
    <t>25 апреля 2023 г. в ФСК КБГУ прошли соревнования по бадминтону среди девушек XL Юбилейной Спартакиады студентов и аспирантов КБГУ. В общем в соревнованиях участвовали 16 студентов. Определены победители и призеры, где 1 место взяли ИППиФСО, 2 место - Мед. Академия, 3 место - ИИЭиР</t>
  </si>
  <si>
    <t>XL Юбилейная Спартакиада студентов и аспирантов КБГУ гиревой спорт</t>
  </si>
  <si>
    <t>КБР, г. Нальчик, ФОК КБГУ, ул. Чернышевского, 173</t>
  </si>
  <si>
    <t xml:space="preserve">25 апреля 2023 г. в ФОК КБГУ прошли соревнования по гиревому спорту среди юношей XL Юбилейной Спартакиады студентов и аспирантов КБГУ. В общем в соревнованиях участвовали  студентов. </t>
  </si>
  <si>
    <t>XL Юбилейная Спартакиада студентов и аспирантов КБГУ шахматы (м)</t>
  </si>
  <si>
    <t>КБР, г. Нальчик, КБГУ, зал им. Х.С. Темирканова, ул. Чернышевского, 173</t>
  </si>
  <si>
    <t>25 апреля 2023 г. в зале им. Х.С. Темирканова прошли соревнования по шахматам среди юношей XL Юбилейной Спартакиады студентов и аспирантов КБГУ. В общем в соревнованиях участвовали 29 студентов.  Определены победители и призеры, где 1 место взял Висамбаев Асланбек мед.академия, 2 место  -Камболов Каурбек ИИИиЦТ, 3 место - Халакоев Астемир ИИИиЦТ</t>
  </si>
  <si>
    <t>XL Юбилейная Спартакиада студентов и аспирантов КБГУ шахматы (ж)</t>
  </si>
  <si>
    <t>26 апреля 2023 г. в зале им. Х.С. Темирканова прошли соревнования по шахматам среди девушек XL Юбилейной Спартакиады студентов и аспирантов КБГУ. В общем в соревнованиях участвовали 9 студентов. Определены победители и призеры, где 1 место взяла Кармова Лина педколледж ИППиФСО, 2 место - Тлеужева Амина ИИИиЦТ, 3 место - Танашева Малика педколледж ИППиФСО</t>
  </si>
  <si>
    <t>XL Юбилейная Спартакиада студентов и аспирантов КБГУ бадминтон (мужской)</t>
  </si>
  <si>
    <t>26 апреля 2023 г. в ФСК КБГУ прошли соревнования по бадминтону среди юношей XL Юбилейной Спартакиады студентов и аспирантов КБГУ. В общем в соревнованиях участвовали 10 студентов. Определены победители и призеры, где 1 место взяли ИППиФСО, 2 место - Мед. Академия, 3 место - ИППиФСО</t>
  </si>
  <si>
    <t>Всероссийский</t>
  </si>
  <si>
    <t>КБР, г. Нальчик, КБГУ, ул. Чернышевского, 173, Сокуровский зал КБГУ</t>
  </si>
  <si>
    <t>В КБГУ им. Х.М. Бербекова прошел единый урок «Без срока давности», организованный в рамках Всероссийского Дня единых действий в память о геноциде советского народа нацистами и их пособниками в годы Великой Отечественной войны.</t>
  </si>
  <si>
    <t>Всероссийский День единых действий в память о геноциде советского народа нацистами и их пособниками в годы Великой Отечественной войны "Единый урок "Без срока давности""</t>
  </si>
  <si>
    <t>Разговорная встреча на ангнлийском языке, посвященная азиатской мультипликации</t>
  </si>
  <si>
    <t>Клуб интернациональной дружбы КБГУ, клуб азиатской культуры КБГУ "Нить"</t>
  </si>
  <si>
    <t xml:space="preserve">Проведена разговорная встреча на английском языке в коллаборации с Клубом азиатской культуры. Тема разговорной встречи – японская анимация. Цель встречи – создание искусственной языковой среды, в рамках которой становится оптимальной языковая практика, ликвидируются коммуникационные барьеры и расширяется лексический запас участников встречи. </t>
  </si>
  <si>
    <t xml:space="preserve">Проведено совместное мероприятие клуба интернациональной дружбы и кафедры английского языка социально-гуманитарного института. Викторина в формате "brainring" посвящена языкознанию и страноведению в контексте изучения английского языка. </t>
  </si>
  <si>
    <t>Партия в настольные игры "Гномы-Вредители", "Орифлама"</t>
  </si>
  <si>
    <t>Турнир среди студентов по длинным классическим нардам, посвящённый 79 годовщине ВОВ.</t>
  </si>
  <si>
    <t>КБР, г. Нальчик, КБГУ, ул. Чернышевского, 173, Точка Кипения КБГУ</t>
  </si>
  <si>
    <t>Лингвострановедческий брейн-ринг</t>
  </si>
  <si>
    <t>Проведен турнир среди студентов по длинным классическим нардам, посвящённый 79 годовщине ВОВ, проводимая РОО "ФЕДЕРАЦИЯ НАРД КАБАРДИНО-БАЛКАРСКОЙ РЕСПУБЛИКИ" в Точке кипения КБГУ. Участниками мероприятия стали студенты и сотрудники КБГУ. Турнир проведен по круговой системе.</t>
  </si>
  <si>
    <t>Партия в настольную игру "7 чудес"</t>
  </si>
  <si>
    <t>Партия в настольную игру "Гномы-Вредители"</t>
  </si>
  <si>
    <t>Праздничный концерт, посвященный 79-й годовщине Победы в Великой Отечественной войне.</t>
  </si>
  <si>
    <t>В КБГУ прошел праздничный концерт, посвященный 79-й годовщине Победы в Великой Отечественной войне. Мероприятие состоялось 8 мая в 13:00 в Творческой мастерской имени А.Н. Сокурова.
В концерте прозвучали песни военных лет в исполнении звезд северо-кавказской эстрады. Танцевальные номера исполнили лучшие коллективы Кабардино-Балкарии. День Победы с нами встретят ГААТ «Кабардинка», ГКУК «ГФЭАТ «Балкария», Султан-Ураган, Амур Текуев, Татьяна Третьяк, Ислам и Карина Киш и другие.</t>
  </si>
  <si>
    <t xml:space="preserve">Добровольческое </t>
  </si>
  <si>
    <t>Акция "Георгиевская лента" в КБГУ</t>
  </si>
  <si>
    <t>В КБГУ прошла традиционная акция "Георгиевская ленточка". Волонтеры КБГУ в нескольких точках крепили символические ленточки студентам и сотрудникам КБГУ.</t>
  </si>
  <si>
    <t>Акция "Окна Победы"</t>
  </si>
  <si>
    <t>Традиционно КБГУ им. Х.М. Бербекова присоедился ко Всероссийской акции «Окна Победы» в преддверии празднования 79-ой годовщины Великой Отечественной Войны. Украсили праздничной символикой окна в студенческом городке.</t>
  </si>
  <si>
    <t>Фотовыставка «Герои в лицах»</t>
  </si>
  <si>
    <t>Возложение цветов к памятнику студентам, преподавателям и сотрудникам Кабардино-Балкарского госуниверситета им. Х.М. Бербекова, павшим в годы Великой Отечественной войны 1941-1945</t>
  </si>
  <si>
    <t>В день 79-й годовщины Победы советского народа в Великой Отечественной войне, в КБГУ почтили память тех, кто на фронте и в тылу, не жалея сил, ковал Великую Победу. В 9 часов в университетском сквере прошло возложение цветов к памятнику, воздвигнутому в честь сотрудников, преподавателей и студентов вуза, которые сложили головы в борьбе с фашистской Германией.
В церемонии приняли участие и.о. ректора КБГУ Юрий Альтудов, председатель Совета ветеранов КБГУ Хасан Шурдумов, участники СВО, профессорско-преподавательский состав вуза и студенты.</t>
  </si>
  <si>
    <t>В преддверии празднования Дня Победы в КБГУ организована выставка "Герои в лицах". Волонтеры КБГУ оказали помощь при установке и расположении выставки.</t>
  </si>
  <si>
    <t xml:space="preserve">В преддверии празднования Дня Победы в КБГУ организована выставка "Герои в лицах". </t>
  </si>
  <si>
    <t xml:space="preserve">Волонтерский центр КБГУ </t>
  </si>
  <si>
    <t>В КБГУ прошел турнир по длинным классическим нардам. Поздравляем победителей и призёров:
1 место — Исхак Мурачаев; 
2 место — Алим Бжихов;
3 место — Артур Тупов.
Волонтеры КБГУ оказали помощь при подготовке площадки для проведения мероприятия.</t>
  </si>
  <si>
    <t>Торжественное мероприятие "Слет талантливой млодежи"</t>
  </si>
  <si>
    <t>В творческой мастерской им. А.Н.Сокурова состоялось награждение призеров и победителей 12 открытой Северо-Кавказской олимпиады. Волонтеры КБГУ оказали помощь в организации мероприятия.</t>
  </si>
  <si>
    <t>Конференция "Digital навыки и цифровые сервисы для самозанятых"</t>
  </si>
  <si>
    <t>Мероприятие, посвященное 160-й годовщине окончания Кавказской войны(1863–1864)</t>
  </si>
  <si>
    <t>Центр адыгской культуры КБГУ, УМПиВР КБГУ</t>
  </si>
  <si>
    <t>В КБГУ прошел вечер, посвященный 160-й годовщине окончания Кавказской войны(1863–1864).
Вспомнить трагические страницы истории и отдать дань уважения памяти сотням тысяч адыгов (черкесов), погибших или вынужденных покинуть родные земли во время Кавказской войны, пришли представители государственной власти, духовенства, деятели культуры, преподаватели и студенты.
Президент Международной черкесской ассоциации Хаути Сохроков, обращаясь к собравшимся, отметил, что День памяти и скорби по жертвам Кавказской войны традиционно отмечается с 1991 года в Кабардино-Балкарии, Карачаево-Черкесии, Адыгее, а также во многих странах, где есть адыгская диаспора.
В рамках мероприятия студенты КБГУ прочли стихотворение Аслана Кабалалиева «К 21», а деятели культуры Кабардино-Балкарии  исполнили музыкальную композицию «ИстамбылакIуэ» (Дорога в Стамбул).</t>
  </si>
  <si>
    <t>В Центре культуры им. Х.С. Темирканова проходила конференция для самозанятых. Организована центром «Мой бизнес» при поддержке Управления развития карьеры КБГУ в рамках национального проекта «Малое и среднее предпринимательство и поддержка индивидуальной предпринимательской инициативы», инициированного Президентом России.
Волонтеры КБГУ оказали помощь в организации мероприятия.</t>
  </si>
  <si>
    <t>Медиафорума «Arcane media»</t>
  </si>
  <si>
    <t>17.05.2024-21.05.2024</t>
  </si>
  <si>
    <t>КБР, п. Эльбрус, база ЭУНК КБГУ</t>
  </si>
  <si>
    <t>Спортивно-патриотический квест "Эхо победы"</t>
  </si>
  <si>
    <t>Студенческий совет ИППиФСО и ПК КБГУ, Студенческий совет ИМТиИГ КБГУ</t>
  </si>
  <si>
    <t xml:space="preserve">Студенческие советы ИППиФСО и ПК и ИМТиИГ совместно организовали квест, посвященный Дню Победы. Студенты-участники проявили свои физичекие способности, смекалку и, конечно, классно провели время. Победители получили памятные призы и грамоты. </t>
  </si>
  <si>
    <t>КБР, г. Нальчик, Дворец культуры курорта "Нальчик"</t>
  </si>
  <si>
    <t xml:space="preserve">Студенты КБГУ показали свои творческие способности на Республиканском фестивале. Они боролись за призы и право называться лучшими в республике в следующих номинациях: эстрадное пение, рэп, народное пение, эстрадный  танец, уличный танец, пантомима, театр и многое другое.  </t>
  </si>
  <si>
    <t>Литературное обсуждение по книге Энтони Берджесса «Заводной апельсин»</t>
  </si>
  <si>
    <t>КБР, г. Нальчик, ул.Ленина 45 "Арт кафе 45"</t>
  </si>
  <si>
    <t>Активисты клуба собрались на литературное обсуждение по книге Энтони Берджесса "Заводной апельсин"</t>
  </si>
  <si>
    <t>Церемония открытия IV Северо-Кавказского молодежного кинофестиваля "Кинокавказ - 2024"</t>
  </si>
  <si>
    <t>Окружной</t>
  </si>
  <si>
    <t>КБР, г. Нальчик, Дворец культуры курорта "Нальчик", ул. Канукоева, 6</t>
  </si>
  <si>
    <t>Активисты клуба приняли участие в церемонии открытия IV Северо-Кавказского молодежного кинофестиваля "Кинокавказ - 2024".</t>
  </si>
  <si>
    <t>Профессионально-трудовое</t>
  </si>
  <si>
    <t>Обучающий семинар для общественных наблюдателей Кабардино-Балкарской республики</t>
  </si>
  <si>
    <t>28-29 апреля 2024 года на базе Кабардино-Балкарского государственного университета им. Х.М. Бербекова прошел обучающий семинар для студентов, которые уже 21 мая приступят к мониторингу процедур государственной итоговой аттестации в качестве общественных наблюдателей.  Региональный семинар объединил более 100 студентов. В первый день семинара региональный координатор общественных наблюдателей Кештов Нажмудин подробно рассказал участникам о деятельности Корпуса общественных наблюдателей,  результатах регионального корпуса за прошедший период. В рамках первого дня участники семинара ознакомились с нормативно-правовой базой организации ГИА, требованиями к работе пунктов проведения экзаменов и функционалом всех задействованных лиц, а также детально изучили ключевые аспекты деятельности федеральных общественных наблюдателей, включая их права и обязанности в ППЭ. Первый день закончился работой в командах, где участники познакомились со своими кураторами, прошли различные тренинги, направленные на командообразование. Второй день семинара прошел очень продуктивным. Участники изучили отчётную документацию по итогам проведения мониторинга. Затем они работали в группах, решая кейсы и разбирая наиболее частые ситуации на государственной итоговой аттестации. Были проведены различные игры, где каждый мог применить полученные знания на практике.  В завершение обучения участники прошли итоговое тестирование и собеседование с представителями регионального корпуса.</t>
  </si>
  <si>
    <t xml:space="preserve">Концерт Государственного академического ансамбля танца «Кабардинка»
</t>
  </si>
  <si>
    <t>В КБГУ состоялся концерт Государственного академического ансамбля танца «Кабардинка».
Зрителям продемонстрировали легендарный «Исламей» по мотивам произведений М. Ю. Лермонтова, соло на барабанах, виртуозный номер с кинжалами, старинный кабардинский княжеский танец «Кафа» и многое другое.</t>
  </si>
  <si>
    <t xml:space="preserve">На базе КБГУ в Приэльбрусье прошел Региональный студенческий медиафорум «Аrcane». Мероприятие реализуется в рамках гранта второго сезона конкурса «Росмолодежь.Гранты».
Четыре насыщенных дня, крутая программа, прекрасные локации и интересные мастер-классы: организаторы форума привлекли внимание к работе медиа и создали уникальную площадку.
Участники посетили лекции по копирайтингу, фото, видео и дизайну, где узнали об актуальных идеях и способах подачи информации, а также подготовили собственные проекты.
</t>
  </si>
  <si>
    <t xml:space="preserve">Региональный семинар-совещание представителей Общественных советов при территориальных органах ФАС России в СКФО </t>
  </si>
  <si>
    <t xml:space="preserve">В КБР прошел региональный семинар-совещание представителей Общественных советов при территориальных органах ФАС России в СКФО. Волонтеры КБГУ оказали помощь в организации мероприятия. </t>
  </si>
  <si>
    <t>КБР, г. Нальчик</t>
  </si>
  <si>
    <t>Финальный воркшоп 5 сезона предпринимательского курса программы "Я в Деле!"</t>
  </si>
  <si>
    <t>КБР, г. Нальчик, КБГУ, ул. Эльбердова</t>
  </si>
  <si>
    <t xml:space="preserve">В КБГУ прошел финальный воркшоп 5 сезона предпринимательского курса программы "Я в Деле!". Волонтеры КБГУ оказали помощь в организации мероприятия. </t>
  </si>
  <si>
    <t>24.05.2024-31.05.2024</t>
  </si>
  <si>
    <t>г. Саратов</t>
  </si>
  <si>
    <t xml:space="preserve">Участие команды КБГУ во Всероссийской студенческой весне </t>
  </si>
  <si>
    <t xml:space="preserve">Студенты КБГУ в составе делегации КБР принимают участие в XXXII Всероссийский фестиваль «Российская студенческая весна» в г. Саратов.
Всего участивует 20 представителей нашей республики, в числе которых 13 студентов КБГУ им. Х.М Бербекова, 5 студентов КБГАУ им. В.М. Кокова и 2 сотрудника Министерства молодежи КБР. </t>
  </si>
  <si>
    <t>Онлайн встреча и.о. ректора КБГУ с участниками Всероссийской студенческой весны</t>
  </si>
  <si>
    <t>По поручению и.о. ректора Юрия Альтудова, сегодня Султан Геккиев встретился со студентами КБГУ – участниками  Всероссийской студенческой весны, которая проходит в эти дни в городе Саратов.
В режиме реального времени собравшиеся смогли пообщаться с ректором вуза. Обратившись к студентам с приветствием, Юрий Камбулатович отметил, что такие мероприятия являются важным этапом не только для ребят, принимающих участие, но и самого вуза, который болеет за них. 
Ребята в свою очередь поблагодарили ректора и поделились впечатлениями и успехами участия в конкурсе. 
В одном из главных событий года принимают участие 20 представителей нашей республики, в числе которых 13 студентов КБГУ им. Х.М Бербекова.</t>
  </si>
  <si>
    <t>Цикл мастер-классов по народному ремеслу</t>
  </si>
  <si>
    <t>Собрание актива киноклуба</t>
  </si>
  <si>
    <t xml:space="preserve">Проведение собрания актива киноклуба для обсуждения вопросов дальнейшей деятельности. </t>
  </si>
  <si>
    <t xml:space="preserve">Духовно-нравственное </t>
  </si>
  <si>
    <t>Онлайн-просмотр фильма "Оставленные" с активистами клуба</t>
  </si>
  <si>
    <t>Проведен онлайн-просмотр фильма "Оставленные", затем его обсуждение.</t>
  </si>
  <si>
    <t>Конкурс каверов на ОСТ к фильмам "За кадром"</t>
  </si>
  <si>
    <t>Проведен студенческий онлайн-конкурса каверов на лучший саундтрек к фильму/мультфильму/сериалу.</t>
  </si>
  <si>
    <t>В рамках реализации проекта «Клевер» сотрудник УМПиВР КБГУ Астемир Жерештиев, совместно  с Центром адыгской культуры КБГУ, провели цикл мастер-классов по направлениям: плетение в старинной адыгской технике"Арджэн", книгоиздание, золотое шитье адыгов (дыщэидэ). 
Участники в формате конвейера познакомились с народными промыслами и попробовали себя в новой практической деятельности культуры народов КБР.  
В мастер-классах приняли участие более 40 человек разных направлений подготовки.</t>
  </si>
  <si>
    <t xml:space="preserve">Олимпиада для студентов КБГУ проходила базе Кабардино-Балкарского университета и включала в себя 6 разделов, которые являлись теоретическим путем проверки знаний. Победитель  получил именную футболку научного клуба, а призеры получили книги.  </t>
  </si>
  <si>
    <t>Олимпиада для студентов КБГУ</t>
  </si>
  <si>
    <t>Научный клуб КБГУ «Maxwell»</t>
  </si>
  <si>
    <t>Турнир по спортивной мафии</t>
  </si>
  <si>
    <t>Настольно-ролевая игра "D&amp;D.Lite 7"</t>
  </si>
  <si>
    <t>Аниме Мафия</t>
  </si>
  <si>
    <t>Участники клуба "Нить" и клуба настольных игр  смогли собраться и поиграть в игру мафия по мотивам аниме "Клинок Рассекаюший Демонов"</t>
  </si>
  <si>
    <t>Студенческое самоуправление</t>
  </si>
  <si>
    <t>Собрание клуба</t>
  </si>
  <si>
    <t>Активиста клуба собрались для обсуждения плана мероприятий на следующий учебный год.Поговорили на тему развития клуба и привлечения новых активистов</t>
  </si>
  <si>
    <t>Клуб азиатской культуры КБГУ "Нить"</t>
  </si>
  <si>
    <t>Тематический тренинг "Инклюзивное волонтерство"</t>
  </si>
  <si>
    <t>В Центре культуры им. Х.С. Темирканова прошел тематический тренинг на тему "Инклюзивное волонтерство. Обсудили специфику работы с детьми с ОВЗ, в том  числе с элементами игропрактики. Спикером выступила Алена Орлова, специалист в направлении инклюзивное добровольчество. Лекция была направлена на студентов-волонтеров КБГУ.</t>
  </si>
  <si>
    <t>Добровольческое</t>
  </si>
  <si>
    <t>Основной этап ГИА школьников</t>
  </si>
  <si>
    <t>Кабардино-Балкарская Республика, места проведения ГИА</t>
  </si>
  <si>
    <t>Клуб общественных наблюдателей</t>
  </si>
  <si>
    <t>С 21 мая федеральные общественные наблюдатели Кабардино-Балкарской республики начали осуществлять мониторинг процедуры проведения Государственной итоговой аттестации.</t>
  </si>
  <si>
    <t>Военно-патриотическая спортивная игра "Победа"</t>
  </si>
  <si>
    <t>Команды всех структурных подразделений КБГУ сразились за звание самых ловких и сильных. По итогам состязаний в тройке лидеров оказались следующие институты:  
 1 место  – ИПЭиФ 
2 место  – ИИИиЦТ 
3 место  – ИАСиД  
 Мероприятие организовано Управлением по молодежной политике и воспитательной работе вуза в рамках празднования 79-летия Победы в Великой Отечественной войне.</t>
  </si>
  <si>
    <t>Своя игра "Yeah, science"</t>
  </si>
  <si>
    <t>Научный клуб «Maxwell»</t>
  </si>
  <si>
    <t>Своя игра "Yeah, science" проходила базе Кабардино-Балкарского университета и включала в себя самые разнообразные разделы, которые являлись теоретическим путем проверки знаний. Команда-победитель получила сертификаты на 1000₽ от кофейни Balance для каждого участника, второе место - сертификат на 2000₽ в веревочный парк, а команда, занявшая 3 место получила стикеры. </t>
  </si>
  <si>
    <t>Мероприятие «Plein air»</t>
  </si>
  <si>
    <t>Атажукинский парк</t>
  </si>
  <si>
    <t>Провели вместе с фотоклубом «FOX» мероприятие «Plein air» в городском парке. Познакомились поближе друг с другом, рисовали в различных стилях и фотографировали. Были обсуждения о разных сферах в искусстве и делились опытом.</t>
  </si>
  <si>
    <t>Конкурс чтецов "Полиязычный Александр Сергеевич Пушкин".</t>
  </si>
  <si>
    <t>Волонтерский центр</t>
  </si>
  <si>
    <t xml:space="preserve">В творческой мастерской А.Н. Сокурова прошло торжественное награждение победителей, призеров и лауреатов конкурса чтецов «Полиязычный Александр Сергеевич Пушкин». </t>
  </si>
  <si>
    <t>В Нальчике проходили матчи Национальной студенческой футбольной лиги – 2024. Гостями домашнего турнира стали сборные Российского экономического университета им. Г.В. Плеханова, Санкт-Петербургского политехнического университета им. Петра Великого, Северо-Восточного федерального университета им. М.К. Аммосова.</t>
  </si>
  <si>
    <t>14.06.2024-17.06.2024</t>
  </si>
  <si>
    <t>Национальная студенческая футбольная лига</t>
  </si>
  <si>
    <t>Домашний турнир «Национальная студенческая футбольная лига»</t>
  </si>
  <si>
    <t>КБР, г. Нальчик,ул. Пачева, д. 57, ГБУ КБР «Детский стадион».</t>
  </si>
  <si>
    <t xml:space="preserve">С 15 по 17 июня на ГБУ КБР "Детский стадион" прошел домашний тур группы "Б" Высшего дивизиона НСФЛ, участниками котрой стали сборные КБГУ, РЭУ(Москва), СВФУ( Якутск), СПбПУ(Санкт-Петербург). </t>
  </si>
  <si>
    <t>Собрание актива Клуба и Разбор игр</t>
  </si>
  <si>
    <t>Председатель клуба собрал Активистов, чтобы обсудить ситуацию и деятельность клуба. После обсуждения мы смогли сыграть в такие игры как: "Длина волны", "Рик и Морти: Смортить всё", "Древний ужас", "Игра Престолов: Второе издание".</t>
  </si>
  <si>
    <t>14.06.2024-23.06.2024</t>
  </si>
  <si>
    <t>КБР, Приэльбрусье, ЭУНК КБГУ</t>
  </si>
  <si>
    <t>Дополнительная общеобразовательная общеразвивающая программа «Образовательно-туристская программа «Университетские смены - Эльбрус» (1 СМЕНА)</t>
  </si>
  <si>
    <t>КБР, г. Нальчик, "Зеленый театр"</t>
  </si>
  <si>
    <t>Мероприятия, приуроченные к празднованию Дня молодежи в Кабаррдино-Балкарской республике</t>
  </si>
  <si>
    <t>Волонтеры оказали помощь в организации большого праздничного концерта, проводимого в Зеленом театре.</t>
  </si>
  <si>
    <t>05.07.2024-07.07.2024</t>
  </si>
  <si>
    <t>Большой семейный фестиваль воздушных шаров «НЕБО 5642», приуроченный ко Дню семьи, любви и верности</t>
  </si>
  <si>
    <t>КБР, Баксанский муниципальный район, с.п.Кишпек, ул.Набережная, 31, оздоровительный комплекс «ГЕДУКО»</t>
  </si>
  <si>
    <t>В комплексе «Гедуко» прошел Большой семейный фестиваль воздушных шаров «НЕБО 5642». В рамках фестиваля организован ряд мероприятий Межрегиональный семейный фестиваль национальных культур «Этнофест», красочный медиапроект «Кунацкая», соревнования по картингу и лазертагу, мастер-классы и анимационно-патриотическая программа, помощь в организации которых оказали волонтеры КБГУ.</t>
  </si>
  <si>
    <t>Торжественное вручение дипломов выпускникам медицинской академии КБГУ</t>
  </si>
  <si>
    <t>КБР, г. Нальчик, Музыкальный театр</t>
  </si>
  <si>
    <t>Волонтеры оказали помощь в организации торжественного вручения дипломов выпускникам медицинской академии КБГУ.</t>
  </si>
  <si>
    <t>КБР, г. Нальчик, ГКУЗ "Станция переливания крови" Минздрава КБР, ул. Тарчокова, д. 12</t>
  </si>
  <si>
    <t>Волонтеры оказали помощь и приняли участие в донорской акции активистов студентов и сотрудников КБГУ.</t>
  </si>
  <si>
    <t>Археологическая экспедиция "Северо-Кавказская археологическая экспедиция Государственного эрмитажа КБГУ"</t>
  </si>
  <si>
    <t>Волонтеры оказали помощь в организации Археологической экспедиции "Северо-Кавказская археологическая экспедиция Государственного эрмитажа КБГУ"</t>
  </si>
  <si>
    <t>Профилактическое мероприятие с участием представителей ГИБДД, ГАИ «Юный пешеход»</t>
  </si>
  <si>
    <t>В стенах Молодежного центра Кабардино-Балкарской Республики пршло мероприятие с участием представителей ГИБДД, ГАИ и министерства "Юный пешеход". В ходе мероприятия проведено ознакомление с правилами безопасного поведения на дороге, проверка базовых навыков ориентации в быстро меняющейся дорожной обстановке.</t>
  </si>
  <si>
    <t>КБР, г. Нальчик, Многофункциональный молодежный центр</t>
  </si>
  <si>
    <t>Комплекс мероприятий, посвящённый Дню Государственного флага Российской Федерации</t>
  </si>
  <si>
    <t>Волонтеры оказали помощь в организации комплекса мероприятий, посвящённых Дню Государственного флага Российской Федерации</t>
  </si>
  <si>
    <t>Круглый стол "Символы Российского государства"</t>
  </si>
  <si>
    <t>В КБГУ отметили День Государственного флага Российской Федерации
«Символы Российского государства» – под таким названием в зале заседаний Ученого совета прошел круглый стол с участием органов власти, руководителей общественных организаций, сотрудников и студентов вуза. 
Спикерами мероприятия выступили: директор ИПЭиФ Елена Машукова и врио ректора Мурат Гукепшоков.
Гостями стали: заместитель Председателя Правительства – министр КБР Залим Кашироков, министр по делам национальностей и общественным проектам КБР Анзор Курашинов, руководитель Отдела религиозного образования Пятигорской и Черкесской Епархии по КБР, священник Константин Осипов,  заместитель Председателя духовного управления мусульман КБР по общим вопросам Алим Сижажев, заместитель министра по делам молодежи Мурат Бжедугов, заместитель министра просвещения и науки КБР Ачемез Мокаев, заместитель председателя «Движения первых» КБР Азамат Забаков, руководитель регионального штаба «Молодой гвардии «Единой России» Альбек Абазов.</t>
  </si>
  <si>
    <t xml:space="preserve">Волонтеры оказали помощь в организации торжественной линейки, посвященной началу учебного года. </t>
  </si>
  <si>
    <t>КБР, г. Нальчик, творческие и образовательные площадки</t>
  </si>
  <si>
    <t>Волонтеры оказали помошь в организации Всероссийского проекта "Большая перемена" для студентов сузов по всей Росиии.</t>
  </si>
  <si>
    <t>Всероссийский проект "Большая перемена" для студентов сузов по всей Росиии.</t>
  </si>
  <si>
    <t>Экологическое</t>
  </si>
  <si>
    <t>Региональная экологическая акция «Чистая гора»</t>
  </si>
  <si>
    <t>КБР, Приэльбрусье, поляна Азау</t>
  </si>
  <si>
    <t xml:space="preserve">Студенты и сотрудники КБГУ, трудовой экологический отряд КБГУ «Зеленый дозор», активисты экологического движения «Экосистема» и волонтёры-экологи «Делай», приняли участие в экологической акции «Чистая гора». В программе фестиваля: сбор мусора на склонах горы Эльбрус, лекторий по экологическому туризму, а также концертная программа с участием кавер-групп и создание арт-объекта на территории ВТРК «Эльбрус».
Благодаря участникам удалось очистить горные территории от станции «Мир» (3750 м н.у.м.) до станции «Гара-Баши» (3780 м н.у.м.) </t>
  </si>
  <si>
    <t>КБГУ им. Х.М. Бербекова присоединился ко всероссийской акции «Собери ребенка в школу». Рюкзаки и все необходимые канцелярские изделия, а также наборы для творчества будут направлены детям из новых регионов. 
В акции приняли участие студенты и сотрудники нашего университета.</t>
  </si>
  <si>
    <t>УМПиВР КБГУ, Волонтерский центр КБГУ</t>
  </si>
  <si>
    <t>Участие во всероссийской акции «Собери ребенка в школу»</t>
  </si>
  <si>
    <t>У главного корпуса КБГУ состоялась торжествеггая линейка, посвященная началу учебного года. На мероприятии собрались студенты и сотрудники КБГУ всех подразделений. Врио ректора М.Х. Гукепшоков поприветствовал присутствующих и поздравил с началом учебного года. Была подготовлена небольная концертная программа и торжественное поднятие флага Российской Федерации.</t>
  </si>
  <si>
    <t>"Торжественная линейка, посвященная началу учебного года"</t>
  </si>
  <si>
    <t>Встреча врио ректора КБГУ Мурата Гукепшокова и проректора по воспитательной работе, молодёжной политике и социальным вопросам Беслана Назранова с первокурсниками-стобалльниками и высокобалльниками ЕГЭ по КБР</t>
  </si>
  <si>
    <t>В зале общественных инициатив проходит встреча врио ректора КБГУ Мурата Гукепшокова и проректора по воспитательной работе, молодёжной политике и социальным вопросам Беслана Назранова с первокурсниками-стобалльниками и высокобалльниками ЕГЭ по КБР.</t>
  </si>
  <si>
    <t>Митинг, посвященный 20-летней годовщине трагедии в Беслане и Дню солидарности в борьбе с терроризмом.</t>
  </si>
  <si>
    <t>КБР, г. Нальчик, ГКЗ</t>
  </si>
  <si>
    <t>В КБГУ прошел митинг, посвященный 20-летней годовщине трагедии в Беслане и Дню солидарности в борьбе с терроризмом.</t>
  </si>
  <si>
    <t>УМПиВР КБГУ, Центр по профилактике экстремизма и асоциального поведения в молодежной среде КБГУ</t>
  </si>
  <si>
    <t>Участие в памятной акции, посвященной 20-летней годовщине трагедии в Беслане и Дню солидарности в борьбе с терроризмом</t>
  </si>
  <si>
    <t>Студенты и сотрудники КБГУ  принимают участие в памятной акции, посвященной 20-летней годовщине трагедии в Беслане и Дню солидарности в борьбе с терроризмом.</t>
  </si>
  <si>
    <t>Встреча, приуроченная ко Дню солидарности в борьбе с терроризмом</t>
  </si>
  <si>
    <t>В центре культуры им. Х.С. Темирканова состоялась встреча, приуроченная ко Дню солидарности в борьбе с терроризмом.</t>
  </si>
  <si>
    <t>Открытые диалоги, посвященные Дню солидарности в борьбе с терроризмом</t>
  </si>
  <si>
    <t>Открытые диалоги, посвященные Дню солидарности в борьбе с терроризмом, прошли в Кабардино-Балкарском госуниверситете. 
Студенты, в числе которых активисты, иностранные учащиеся и председатели объединений, смогли обсудить с лекторами вопросы патриотизма и гражданской ответственности, задать интересующие вопросы и получить ценные советы.</t>
  </si>
  <si>
    <t>Программа обучения руководителей клубных объединений КБГУ</t>
  </si>
  <si>
    <t>Для председателей и активистов студенческих клубных объединений подготовлены образовательные треки</t>
  </si>
  <si>
    <t>130 детей
11 сопровождающих
19 организаторы
На базе прошла первая смена проекта Дополнительная общеобразовательная общеразвивающая программа «Образовательно-туристская программа «Университетские смены - Эльбрус». Школьники приехали из Луганской народной республики и Запорожской области. Встретиться с участниками приезжали ректор Ю.К. Альтудов и проректор по МПВРиСВ Б.М. Назранов.</t>
  </si>
  <si>
    <t>11.07.2024-20.07.2024</t>
  </si>
  <si>
    <t>Дополнительная общеобразовательная общеразвивающая программа «Образовательно-туристская программа «Университетские смены - Эльбрус» (2 СМЕНА)</t>
  </si>
  <si>
    <t>158 детей
14 сопровождающих
20 организаторы
На базе прошла первая смена проекта Дополнительная общеобразовательная общеразвивающая программа «Образовательно-туристская программа «Университетские смены - Эльбрус». Школьники приехали из Луганской народной республики и Запорожской области. Встретиться с участниками приезжали ректор Ю.К. Альтудов и проректор по МПВРиСВ Б.М. Назранов.</t>
  </si>
  <si>
    <t>Фотовыставка "КБГУ - глазами студентов"</t>
  </si>
  <si>
    <t>В Главном корпусе КБГУ открыта выставка "КБГУ - глазами студентов". Представлены порядка 30 фоторабот студентов с кадрами молодежных мероприятий в вузе.</t>
  </si>
  <si>
    <t>Шествие участников полуфинала Всероссийского конкурса «Большая перемена»</t>
  </si>
  <si>
    <t>КБР, г. Нальчик, Атажукинский парк</t>
  </si>
  <si>
    <t xml:space="preserve">В Атажукинском парке прошло шествие участников полуфинала  Всероссийского конкурса «Большая перемена». К ним присоединились студенты КБГУ. Далее в Зелёном театре состоялось торжественное закрытие. </t>
  </si>
  <si>
    <t>Образовательно-патриотический лагерь «Августёнок-2024»</t>
  </si>
  <si>
    <t>С 6 сентября в Эльбрусском учебно-научном комплексе КБГУ проходил образовательно-патриотический лагерь «Августёнок-2024».
В этом году участие приняли 85 студентов различных структурных подразделений вуза — в их числе и иностранные обучающиеся. Программа лагеря представлена множеством образовательных лекций и тренингов, направленных на социализацию, развитие гибких навыков и командообразование.
«Августёнок-2024» для лидеров студенческого самоуправления включает в себя обучение студенческого актива с применением различных форм и методов работы. Участниками лагеря стали представители научного, спортивного, творческого и добровольческого сообществ.</t>
  </si>
  <si>
    <t>Встреча с руководителем регионального отделения РДДМ «Движение Первых» Асланом Шипшевым</t>
  </si>
  <si>
    <t xml:space="preserve">В центре культуры им. Х.С. Темирканова состоялась встреча коллектива КБГУ с председателем совета регионального отделения Российского движения детей и молодежи «Движение Первых» КБР Асланом Шипшевым.
В ходе встречи студенты и сотрудники смогли получить полную информацию о Движении, обсудить общественно значимые проекты и задать интересующие вопросы. </t>
  </si>
  <si>
    <t>Региональный тур проекта «Твой Ход» — 2024</t>
  </si>
  <si>
    <t xml:space="preserve">В центре культуры им. Х.С. Темирканова прошел Региональный тур проекта «Твой Ход» — 2024. 
Эксперты крупнейшего студенческого сообщества  
страны выступили с презентацией проекта, в которой рассказали о конкурсных треках и о том, как прокачать лидерские навыки, завести новых друзей и начать строить своё будущее уже сегодня. </t>
  </si>
  <si>
    <t>Образовательная программа "Наставник 2024" - день 1</t>
  </si>
  <si>
    <t>Образовательная программа "Наставник 2024" - день 2</t>
  </si>
  <si>
    <t>Образовательная программа "Наставник 2024" - день 3</t>
  </si>
  <si>
    <t xml:space="preserve">Ознакомительная встреча с первокурсниками ИПЭиФ, ИИИиЦТ, ИФиМ </t>
  </si>
  <si>
    <t>Первокурсники ИПЭиФ, ИИИиЦТ, ИФиМ встретились со специалистами Управления по молодёжной политике и воспитательной работе и с активистами вуза. 
В ходе встречи сотрудники УМПиВР рассказали студентам первых курсов о структуре вуза, возможностях и важных событиях, а активисты КБГУ – о самых ярких мероприятиях университета.</t>
  </si>
  <si>
    <t>16.09.2024-25.09.2024</t>
  </si>
  <si>
    <t>Дополнительная общеобразовательная общеразвивающая программа «Образовательно-туристская программа «Университетские смены - Эльбрус» (6 СМЕНА)</t>
  </si>
  <si>
    <t>Мастер-класс «Ты глазами другого фотографа»</t>
  </si>
  <si>
    <t>Викторина «Искусство для всех»</t>
  </si>
  <si>
    <t>Творческий клуб "Art"</t>
  </si>
  <si>
    <t>Интеллектуально-развлекательная игра для первокурсников «Анчоусы»</t>
  </si>
  <si>
    <t>Серия танцевальных мастер-классов «Танцевальная перемена»</t>
  </si>
  <si>
    <t>Посвящение в первокурсники КБГУ</t>
  </si>
  <si>
    <t>В творческой мастерской им. А.Н. Сокурова состоялось посвящение в первокурсники КБГУ. 
Торжественную церемонию начали с традиционной клятвы на верность родному вузу. Ребята пообещали добросовестно учиться, уважать и хранить добрые традиции, сложившиеся в университете. Торжественный вечер завершился исполнением гимна КБГУ.</t>
  </si>
  <si>
    <t>В КБГУ проходит викторина в рамках историко-просветительского проекта «Дорогами Победы», реализуемого Чеченским государственным педагогическим университетом при поддержке Министерства просвещения Российской Федерации.</t>
  </si>
  <si>
    <t>Празднование дня рождения В.В. Путина в КБГУ</t>
  </si>
  <si>
    <t>Студенты и сотрудники КБГУ собрались возле главного корпуса вуза, чтобы поздравить с днём рождения нашего национального Лидера — Президента Российской Федерации Владимира Путина. Подготовлен ряд творческих номеров, а также акция от студентов с баннером-растяжкой.</t>
  </si>
  <si>
    <t>Историко-просветительский проект "Дорогами Победы"</t>
  </si>
  <si>
    <t>Игротека</t>
  </si>
  <si>
    <t>Партия в настольные игры "Каркасон","Бэнг: Меч Самурая"</t>
  </si>
  <si>
    <t>Партия в настольные игры "Письма призрака","Бэнг: Меч Самурая","Манчкин"</t>
  </si>
  <si>
    <t>Фото клуб "FOX" КБГУ</t>
  </si>
  <si>
    <t xml:space="preserve">11 сентября 2024г. в КБГУ им. Х. М. Бербекова стартовала обучающая программа «Наставник».
Программа «Наставник» направлена на адаптацию и раскрытие потенциала личности студентов-первокурсников при помощи наставничества студентов старших и выпускных курсов.
Отметим, что проект «Наставник» вошел в число победителей Всероссийского конкурса Росмолодёжь.Гранты среди образовательных учреждений высшего образования в 2023 году. Мероприятие проходило три дня и включало в себя три блока: 1. Образовательный (лекции)  2. Практический (тренинги), 3. Итоговый (тестирование и собеседование). Мероприятие проводилось в целях создания благоприятных условий, содействующих развитию социальной и культурной компетенции личности студента вуза, обладающего активной социально-ориентированной жизненной позицией, системой духовных, гражданских и нравственных ценностей. </t>
  </si>
  <si>
    <t>Второй  практический день программы "Наставник" (тренинги). На мероприятии участники прошли курс трениногов на командообразование и научились работать в командах.</t>
  </si>
  <si>
    <t>Третий день программы "Наставник" -  итоговый. Участники прошли выходное тестирование и собеседование.</t>
  </si>
  <si>
    <t>ППОО КБГУ</t>
  </si>
  <si>
    <t>Мероприятие проводили 10 сентября в главном корпусе КБГУ. Суть игры состояла в основном в том, чтобы научить ребят защищать ту позицию, которой они придерживаются. Благодаря этой игре, участниками игры была освоена одна из важнейших тем изучения психологии "Отстаивание своих принципов и позиций", что является базовым знанием при построении личностного "Я" при взаимодействии с людьми в социуме</t>
  </si>
  <si>
    <t>Интеллектуально-психологическая игра "За-Против"</t>
  </si>
  <si>
    <t>Культурно-развлекательное мероприятие "КиноИгра для первокурсников"</t>
  </si>
  <si>
    <t>КБР, г. Нальчик, КБГУ, ул. Чернышевского, 174</t>
  </si>
  <si>
    <t>В зале им. Ю.Х. Темирканова прошло ежегодное культурно-развлекательное мероприятие "КиноИгра для первокурсников". Участники проходили этапы различного формата, объединенные кинематографической направленностью. По итогам команды две команды заняли призовые места.</t>
  </si>
  <si>
    <t>Открытие Спартакиады «Приз первокурсника»</t>
  </si>
  <si>
    <t>Награждение участников мероприятия "XL юбилейная спартакиада студентов и аспирантов КБГУ"</t>
  </si>
  <si>
    <t xml:space="preserve">7 октября в ФСК КБГУ состоялось открытие ежегодной спартакиады «Приз первокурсника». Торжественно открыли мероприятие НАТ КБГУ "Кафа" и современными танцами от коллектива КБГУ "Танцевальная революция". </t>
  </si>
  <si>
    <t>7 октября в ФСК КБГУ прошло награждение участников XL Юбилейной Спартакиады студентов и аспирантов КБГУ. Открывали  награждение национальными танцами от НАТ КБГУ "Кафа" и современными танцами от коллектива КБГУ "Танцевальная революция". Победителям соревнований вручениы памятные грамоты и ценные призы по категориям игр.</t>
  </si>
  <si>
    <t>С 7 по 8 октября в ФСК КБГУ прошли соревнования по волейболу среди девушек в рамках ежегодной спартакиады "Приз первокурсника". В соревнованиях приняли участие 63 студента. Определены победители и призеры, где 1 место взяли команда МК, 2 место - команда ПК, 3 место - команда ИППиФСО.</t>
  </si>
  <si>
    <t>Спартакиада "Приз первокурсника" - волейбол (женский)</t>
  </si>
  <si>
    <t>Спартакиада "Приз первокурсника" - волейбол (мужской)</t>
  </si>
  <si>
    <t>С 9 по 11 октября  в ФСК КБГУ прошли соревнования по волейболу среди юношей Спартакиады Приз Первокурсника. В соревнованиях приняли участие 107 студентов</t>
  </si>
  <si>
    <t>Большой предпринимательский турнир «Рынок и капиталы»</t>
  </si>
  <si>
    <t>КБР, пр.Ленина, д. 1в, Кабардино-Балкарский государственный аграрный университет им. В.М. Кокова</t>
  </si>
  <si>
    <t>Федеральная программа в КБГУ "Я в деле"</t>
  </si>
  <si>
    <t>В рамках реализации федеральной программы «Я в деле» при поддержке Министерства высшего образования наставники провели в КБГАУ Большой предпринимательский турнир «Рынок и капиталы».</t>
  </si>
  <si>
    <t>Студенты и сотрудники нашего вуза приняли участие в Донорской акции, которая прошла на Станции переливания крови.</t>
  </si>
  <si>
    <t>Спектакль «Трудный экзамен»</t>
  </si>
  <si>
    <t>Студенческий театр КБГУ «Занавес»</t>
  </si>
  <si>
    <t>Донорская акция «Твори добро»</t>
  </si>
  <si>
    <t>Проша встреча с первокурсниками Колледжа информационных технологий и экономики. Их познакомимли со студенческой жизнью университета, со всеми "плюшками" и "пряниками", а так же провели игру для сближения новеньких активистов с мастодонтами института.</t>
  </si>
  <si>
    <t>Студенческий совет КИТиЭ КБГУ</t>
  </si>
  <si>
    <t xml:space="preserve">Интеллектуально-развлекательная игра для первокурсников "Лига интеллектуальных докторов " </t>
  </si>
  <si>
    <t>Ознакомительная встреча «Первый раз в первый класс»</t>
  </si>
  <si>
    <t>КБР, г. Нальчик, ул. Эльбердова 47а</t>
  </si>
  <si>
    <t>Студенческий совет Медицинской академии КБГУ</t>
  </si>
  <si>
    <t>Проведена ежегодная познавательная игра для первокурсников медицинской академии. Игра состояла из нескольких туров с вопросами по медицине.</t>
  </si>
  <si>
    <t xml:space="preserve">Интеллектуально-развлекательная игра для первокурсников всех институтов и направлений "Игры разума" </t>
  </si>
  <si>
    <t>Проведена интеллектуальная игра для первокурскников университета,  которая состояла из нескольких туров  и включала в себя большой спектр вопросов. Главная цель игры - показать первокурсникам, что внеучебная жизнь в университете.</t>
  </si>
  <si>
    <t>Квест-игра для студентов первого курса "Тропа Первака"</t>
  </si>
  <si>
    <t>В КБГУ прошла "Тропа Первака" – это ежегодная, самая масштабная квест-игра в КБГУ, созданная для ознакомления первокурсников с территорией и представителями общественных и студенческих организаций нашего ВУЗа.
Этапы квест-игры предусматривают спортивные, интеллектуальные, творческие и развлекательные направления. С помощью квест-игры студент-первокурсник знакомится с представителями администрации ВУЗа, студенческих организаций и самоуправления, учится работать в команде и погружаются в студенческую жизнь.
Тропа Первака включала в себя 50 этапов, более 150 организаторов и более 1200 участников-первокурсников.
Все участники получат сертификаты, с которых начинается формирование индивидуального портфолио, необходимого для получения повышенной академической стипендии. А победители, призеры и самые яркие участники получают ценные призы и спонсорские сертификаты. </t>
  </si>
  <si>
    <t>Спартакиада "Приз первокурсника" баскетбол (женский)</t>
  </si>
  <si>
    <t>Спартакиада "Приз первокурсника" баскетбол (мужской)</t>
  </si>
  <si>
    <t>С 14 по 15 октября 2024 г. в ФСК КБГУ прошли соревнования по баскетболу среди девушек в рамках Спартакиады "Приз первокурсника". Определены победители и призеры, где 1 место взяли ПК, 2 место - ИППиФСО, 3 место - ИФиМ.</t>
  </si>
  <si>
    <t>Комплекс мероприятий, посвященных 92-летию со дня основания университета</t>
  </si>
  <si>
    <t>КБР, г. Нальчик, КБГУ, ул. Чернышевского, 173, Творческая мастерская  им. А.Н. Сокурова</t>
  </si>
  <si>
    <t>Студенческий совет  КБГУ</t>
  </si>
  <si>
    <t>К 92-летию со дня основания университета был  проведен комплекс мероприятий: состоялся  торжественный праздничный концерт с участием студентов и преподавателей университета, была представлена новая аранжировка Гимна КБГУ. Далее всем гостям и участникам праздника были презентованы интерактивные альтернативные площадки, подготовленные и проводимые студенческими  советами  структурных подразделений  КБГУ (различные мастер-классы по оказанию мед. помощи, постановке уколов, наложению швов и правильной гигиены ротовой полости, мастер-классы по проведению химических, биологических и физических опытов, мастер-классы по обучению робототехнике, компьютерным программам и искуству рисования, а также различные тренинги и игры, направленные на раскрытие потенциала личности студента и т.п.).</t>
  </si>
  <si>
    <t xml:space="preserve">Проведена культурно-развлекательная игра под названием «Искусство для всех». Подготовлены этапы на знания картин и художников разных стран и эпох, задания на внимательность, а также  финальный этап практическим заданием. </t>
  </si>
  <si>
    <t>Мероприятие «Artworking»</t>
  </si>
  <si>
    <t>Творческий клуб «Art»</t>
  </si>
  <si>
    <t xml:space="preserve">Проведено творческое мероприятие под названием «Artworking». Участники улучшали навыки, делились и обсуждали различные техники рисования.  Тематика свободная, работы выполнены в различных стилях. </t>
  </si>
  <si>
    <t>«Хуманизация клуба “Art”!»</t>
  </si>
  <si>
    <t>Провели онлайн-конкурс рисунков на тему «Хуманизация клуба “Art”!». Участвовали студенты СПО и ВО структур. 1 место занял Яфаунов Эльдар Асланович - студент 2 курса института архитектуры, строительства и дизайна, направление «Строительство».</t>
  </si>
  <si>
    <t>Конкурс на тему кино «Forrest art»</t>
  </si>
  <si>
    <t>Провели онлайн-конкурс рисунков на тему кино «Forrest art». Участвовали студенты СПО и ВО структур. 1 место занял Зязиков Шахбулат Казбулатович - студент 1 г.о. института архитектуры, строительства и дизайна, направление «Строительство».</t>
  </si>
  <si>
    <t xml:space="preserve">Проведено творческое мероприятие под названием «Artworking». Участники улучшали навыки, делились и обсуждали различные техники рисования. </t>
  </si>
  <si>
    <t>Конкурс на тему «Зелёная планета»</t>
  </si>
  <si>
    <t>Проведен онлайн-конкурс рисунков на тему «Зелёная планета».  1 место заняла Белимготова Алина  Амировна студентка 2 курса института архитектуры, строительства и дизайна, направления «Конструирование моделирование швейных изделий».</t>
  </si>
  <si>
    <t>Ежегодная естественно-научная олимпиада им.Л.Х. Слонова</t>
  </si>
  <si>
    <t>Ежегодная естественно-научная олимпиада имени 
Л.Х. Слонова  предусмотрена для студентов КБГУ. Первоначально прошла регистрация на участие в олимпиаде. В олимпиаду включены пять разделов - биология, химия, физика, астрономия, география. Были представлены следующие задания: тестовые вопросы, тестовые вопросы с несколькими правильными ответами, вопросы с пропусками, задания на соотнесение двух рядов данных, хронологические последовательности, развернутый письменный ответ.
Цель олимпиады -  стимулирование интереса обучающихся к различным предметам,оценка знаний, умений и навыков, полученных в процессе обучения.</t>
  </si>
  <si>
    <t xml:space="preserve">Научный клуб КБГУ «Maxwell» </t>
  </si>
  <si>
    <t>Выезд на природу с последующей научно-исследовательской деятельностью</t>
  </si>
  <si>
    <t>КБР, Эльбрусский район, село Терскол</t>
  </si>
  <si>
    <t>Выезд был проведен при участии студентов с целью непосредственного знакомства учащихся с растениями и животными, особенностями их жизнедеятельности, ролью в природе, связью с другими организмами, расширения и углубления экологического знания. Задача ребят состоит в выборе понравившегося растительного или животного организма и подготовке доклада на данную тему с последующей защитой, а также в изготовлении гербариев.</t>
  </si>
  <si>
    <t>Отчетно-выборочное собрание Волонтерского центра КБГУ</t>
  </si>
  <si>
    <t>Студсовет КБГУ</t>
  </si>
  <si>
    <t xml:space="preserve">Состоялись выборы нового руководителя волоонтерского центра. По итогам соверщения необходимых процедур, было объявлено имя нового руководителя Волонтерского центра - им стала студентка Саният Метова. </t>
  </si>
  <si>
    <t>Церемония наградждения лауреатов фестиваля художественного творчества студентов "Студенческая весна - 2024"</t>
  </si>
  <si>
    <t>Состоялся Гала концерт Студенческой весны в КБГУ, где зрители узнали имена лучших из лучших. Подготовлена творческая программа от институтов, основными номерами которой был номер открытие - танец-коллоборация  от институтов и номер закрытие - синтез-номер от председателей интитутов. После прошла церемония награждения памятными призами и собственным мерчем от Студсовета КБГУ.</t>
  </si>
  <si>
    <t>Magnetic - игра по географии</t>
  </si>
  <si>
    <t>КБР, г. Нальчик, КБГУ, ул. Чернышевского, 173, ауд. 501 СГИ</t>
  </si>
  <si>
    <t xml:space="preserve">Прошла игра для любителей и знатоков географии. В ожесточенной интеллектуальной борьбе сражались лучшие из лучших, было много эмоций различного характера.  </t>
  </si>
  <si>
    <t>Встреча с первокурсниками</t>
  </si>
  <si>
    <t xml:space="preserve">Студсовет Медицинской академии ознакомил своих первокурсников со структурой университета, так же познакомил их с кураторами и главными активистами интитута </t>
  </si>
  <si>
    <t>КБР, г. Нальчик, Медицинский фаукльтет, ул. Инессы Арманд 1а, Актовый зал</t>
  </si>
  <si>
    <t>Студенческим советом было организовано знакомство первокурсников со структурой университета,  с главным студенческим советом, УМПиВРом, профкомом и тд.</t>
  </si>
  <si>
    <t>Студенческий совет ИСиЧЛХ КБГУ</t>
  </si>
  <si>
    <t xml:space="preserve">КБР, г. Нальчик, КБГУ, ул. Чернышевского, 173, ИФиМ, ауд.202 </t>
  </si>
  <si>
    <t>Прошла встреча с первокурсниками Института Физики и Математики, где заместители  вместе с председателем познакомили первокурсников с университетом.</t>
  </si>
  <si>
    <t>Студенческий совет ИФиМ КБГУ</t>
  </si>
  <si>
    <t xml:space="preserve">КБР, г. Нальчик, КБГУ, ул. Чернышевского, 173, ИФиМ, ауд.201 </t>
  </si>
  <si>
    <t>Студсовет ИФиМа провели излюбленную игру студентов - "Бункер".</t>
  </si>
  <si>
    <t>Психологическая игра "Бункер"</t>
  </si>
  <si>
    <t xml:space="preserve">КБР, г. Нальчик, Медицинский колледж КБГУ, актовый зал </t>
  </si>
  <si>
    <t>Студенческий совет Медицинского колледжа КБГУ</t>
  </si>
  <si>
    <t xml:space="preserve">КБР, г. Нальчик, КБГУ, ул. Чернышевского, 173, ауд. 301 </t>
  </si>
  <si>
    <t>Студенческий совет ИИЭиР КБГУ</t>
  </si>
  <si>
    <t>Знакомство с первокурсниками</t>
  </si>
  <si>
    <t xml:space="preserve">КБР, г. Нальчик, КБГУ, ул. Чернышевского, 173, ауд. 101 ИПЭиФ </t>
  </si>
  <si>
    <t>Знакомство актива института с новыми студентами. Представление заместителей, презентация о плюсах университета и учебы в институте. Рзабор структуры всех мероприятий и участия в них и многое другое</t>
  </si>
  <si>
    <t>Студенческий совет ИПЭиФ КБГУ</t>
  </si>
  <si>
    <t>Интеллектуально-развлекательная игра «Мафия» с первокурсниками</t>
  </si>
  <si>
    <t xml:space="preserve">КБР, г. Нальчик, КБГУ, ул. Чернышевского, 173, ауд. 303 ИПЭиФ </t>
  </si>
  <si>
    <t>Была проведена игра "Мафия", направленная на социальное раскрепощение студентов.</t>
  </si>
  <si>
    <t xml:space="preserve">Встреча с первокурсниками в неформальной обстановке, духовное сближение и активное обсуждение планов и взглядов на жизнь новых студентов. Так же поиск талантов, для дальнейшего развития из таланта и потенциала. </t>
  </si>
  <si>
    <r>
      <t xml:space="preserve">Мероприятие </t>
    </r>
    <r>
      <rPr>
        <b/>
        <sz val="9"/>
        <rFont val="Times New Roman"/>
        <family val="1"/>
        <charset val="204"/>
      </rPr>
      <t>"</t>
    </r>
    <r>
      <rPr>
        <sz val="9"/>
        <rFont val="Times New Roman"/>
        <family val="1"/>
        <charset val="204"/>
      </rPr>
      <t>Парк-место силы"</t>
    </r>
  </si>
  <si>
    <t>КБР, г. Нальчик, КБГУ, ул. Чернышевского, 173, ауд. 334</t>
  </si>
  <si>
    <t>Собрание с активом, представление новых заместителей, встреча с заместителем по Воспитательной работе, обсуждение дальнейших планов.</t>
  </si>
  <si>
    <t>Студенческий совет СГИ КБГУ</t>
  </si>
  <si>
    <t>КБР, г. Нальчик, КБГУ, ул. Чернышевского, 173, Сокурсвский зал</t>
  </si>
  <si>
    <t>Знакомство первокурсников с советом, профкомом и клубами КБГУ.</t>
  </si>
  <si>
    <t xml:space="preserve">Спортивно-развлекательный квест по мотивам мультивселенной “Marvel” </t>
  </si>
  <si>
    <t>КБР, г. Нальчик, КБГУ, ул. Чернышевского, 173, Территория университета</t>
  </si>
  <si>
    <t xml:space="preserve">Спортивно-развлекательный квест по мотивам мультивселенной “Marvel” на территории КБГУ. Квест предназначен для сплочения первокурсников и их ознакомления с территорией ВУЗа. Включал в себя 15 этапов, прохождение которых было на скорость </t>
  </si>
  <si>
    <t>Главным студенческим советом была организована танцевальная перемена, на которой были проведены мастер-классы по следующим видам: к-поп, национальные танцы, брейк-данс, хип-хоп, контемп и многое другое. В завершение мероприятия был организован флешмоб у главного входа КБГУ. Студенты получили новые навыки танцев, море эмоций, а зрители - зрелище!</t>
  </si>
  <si>
    <t>Центр по профилактике экстремизма и асоциального поведения в молодежной среде КБГУ</t>
  </si>
  <si>
    <t>В КБГУ прошла встреча на тему терроризма и экстремизма, посвященная памяти трагического события 13 октября 2005 года, с Заместителем Председателя Правительства - министра Кабардино-Балкарской Республики по профилактике экстремизма - Каширокоым Залимом Карачаевичем и Майором полиции, старшего оперуполномоченного ЦПЭ МВД ПО КБР- Шхагошевым Залимом Аркадьевичем.   </t>
  </si>
  <si>
    <t xml:space="preserve">Встреча, посвященная памяти трагического события 13 октября 2005 года.  </t>
  </si>
  <si>
    <t>Научно-образовательное, культурно-творческое</t>
  </si>
  <si>
    <t>Форум интернациональной дружбы КБГУ "Межкультурный диалог"</t>
  </si>
  <si>
    <t>10.06.2024-13.06.2024</t>
  </si>
  <si>
    <t>Выездная коммуникационная школа включала в себя командообразовательные мероприятия, образовательный трек, посвященный проблемам межкультурных коммуникаций, проектрная сессия, спортивные и культурные меропрития и многое другое.</t>
  </si>
  <si>
    <t>КБР, г.Нальчик, Атажукинский сад</t>
  </si>
  <si>
    <t>Коллоборация Клуба интернациональной дружбы и Литературного клуба в формате пикника-разговорной встречи на английском языке на книжную тематику.</t>
  </si>
  <si>
    <t>Пикник-разговорная встреча на английском</t>
  </si>
  <si>
    <t>Клуб интернациональной дружбы КБГУ, Литературный клуб КБГУ</t>
  </si>
  <si>
    <t>Разговорная встреча на английском языке</t>
  </si>
  <si>
    <t>Разговорная встреча на английском языке, посвященная обсуждению планов на лето активистов клуба.</t>
  </si>
  <si>
    <t>Разговорная встреча на английском языке, посвященная знакомтсву с новыми участниками клуба, их ожиданий от нового учебного года.</t>
  </si>
  <si>
    <t>КБР, г. Нальчик, КБГУ, ул .Толстого, 179</t>
  </si>
  <si>
    <t>Разговорная встреча на английском языке, посвященная обсуждению того, что вызывает у людей раздражение и злость.</t>
  </si>
  <si>
    <t>Лекция-игра "Знакомство с ИнтерКлубом"</t>
  </si>
  <si>
    <t>КБР, г.Нальчик, КБГУ, ул. Чернышевского, 173</t>
  </si>
  <si>
    <t>Лекция-игра «Знакомство с Интерклубом». Ребятам раскрыли секреты деятельности клуба, познакомили с организаторами, а также проверили их знания в культурах других стран, иностранных языках, межкультурных коммуникациях и многом другом.</t>
  </si>
  <si>
    <t>Партия в настольные игры "Кольт-Экспресс","Бэнг: Меч Самурая"</t>
  </si>
  <si>
    <t>Партия в настольные игры "Нуар","Бэнг: Меч Самурая","Битва за ракуган", "Каркасон"</t>
  </si>
  <si>
    <t>Партия в настольные игры "Любительская мафия","Бэнг: Меч Самурая","Нечто: из глубокой бездны","Каркасон","Нуар"</t>
  </si>
  <si>
    <t>Партия в настольные игры "Любительская мафия", "Нечто: из глубокой бездны", "Нуар", "Письма призрака"</t>
  </si>
  <si>
    <t>Еженедельный конкурс "Атмосфера КБГУ"</t>
  </si>
  <si>
    <t>Фотоклуб КБГУ «FOX»</t>
  </si>
  <si>
    <t>Провели онлайн-конкурс фотографий на тему «Атмосфера КБГУ». В ходе конкурса был объявлен победитель Бештоева Алина.</t>
  </si>
  <si>
    <t>Мероприятие "Мир Глаза Другого Фотографа"</t>
  </si>
  <si>
    <t>Проведено мероприятие под названием «Мир Глазами Другого Фотографа». Улучшали навыки, делились и обсуждали различные техники фотографирования.</t>
  </si>
  <si>
    <t>Еженедельный конкурс "Осенние дожди"</t>
  </si>
  <si>
    <t>Фотоклуб «FOX» КБГУ</t>
  </si>
  <si>
    <t>Провели онлайн-конкурс фотографий на тему «Осенний дождь». В ходе конкурса были объявлены три победителя Николаева Сафия ПК 1 курс, Кудаев Эльдар ИХиБ 1 курс, Кочесокова Оксана МА 4 курс.</t>
  </si>
  <si>
    <t>Еженедельный конкурс "Ночная Эстетика КБР"</t>
  </si>
  <si>
    <t>Провели онлайн-конкурс фотографий на тему «Ночная Эстетика КБР». В ходе конкурса был объявлен победитель Туниева Алина Ризуановна УК 2 курс</t>
  </si>
  <si>
    <t xml:space="preserve">Еженедельный конкурс "Портрет" </t>
  </si>
  <si>
    <t xml:space="preserve">Провели онлайн-конкурс фотографий на тему «Портрет». В ходе конкурса был объявлен победитель -
</t>
  </si>
  <si>
    <t>День рождение "FOX"</t>
  </si>
  <si>
    <t>Проведена была конкурс посвященный дню основании клуба "Fox".</t>
  </si>
  <si>
    <t>Закрытие скакового сезона 2024</t>
  </si>
  <si>
    <t>КБР, г. Нальчик, Нальчикский ипподром, ул.Мальбахова 30</t>
  </si>
  <si>
    <t>Добровольная молодёжная дружина  КБГУ "Эльбрус"</t>
  </si>
  <si>
    <t>Гражданское, профессионально-трудовое</t>
  </si>
  <si>
    <t>РСО-Алания, Куртатинское ущелье</t>
  </si>
  <si>
    <t>Туристический клуб КБГУ «Papaha Travel»</t>
  </si>
  <si>
    <t>Организован экскурсионный везд в Северную Осетию, участники выезда прошли пешие маршруты к водопадам, учились верховой езде, знакомились с национальной кухней.</t>
  </si>
  <si>
    <t>КБР, г. Нальчик, Кабардинский драматический театр им.Али Шогенцукова</t>
  </si>
  <si>
    <t>В государственном драматическом театре имени А. Шогенцукова сейчас прошел спектакль для городских эителей «Трудный экзамен» студенческого театра КБГУ «Занавес». Спектакль отыграли как "разминку" перед участием во Всероссийском конкурсе стценических постановок студенческих вторческих коллективов "Поколение будущего" в г. Москва.</t>
  </si>
  <si>
    <t>КБР, г. Нальчик, КБГУ, ул.Толстого, 179</t>
  </si>
  <si>
    <t xml:space="preserve">Состоялась еженедельная разговорная встреча на английском языке, посвященная обсуждению национальных блюд разных стран. </t>
  </si>
  <si>
    <t>С 16 по 21 октября 2024 г. в ФСК КБГУ прошли соревнования по басктеболу среди юношей Спартакиады Приз Первокурсника. В общем в соревнованиях участвовали 82 студента. Определены победители и призеры, где 1 место — ИИЭиР, 2 место — Педагогический колледж, 3 место — КИТиЭ</t>
  </si>
  <si>
    <t>Спартакиада "Приз первокурсника" футзал</t>
  </si>
  <si>
    <t>Встреча студентов КБГУ с председателем Международной исламской миссии Шафигом Ауесовичем Пшихачевым</t>
  </si>
  <si>
    <t>Координациональный профилактический центр КБГУ</t>
  </si>
  <si>
    <t>Состоялась встреча студентов КБГУ с председателем Международной исламской миссии, полномочным представителем Управления мусульман Кавказа и генеральным представителем Координационного центра мусульман Северного Кавказа в Москве Шафигом Пшихачевым. На встрече обсуждались актуальные вопросы, касающиеся роли ислама в современном обществе и взаимодействия молодежи с религиозными институтами, семейных ценностей и воспитания.</t>
  </si>
  <si>
    <t>С 22 по 28 октября 2024 г. в ФСК КБГУ прошли соревнования по футзалу Спартакиады Приз Первокурсника. В общем в соревнованиях участвовали 140 студентов. Определены победители и призеры, где 1 место взяли ПК, 2 место - ИПЭиФ, 3 место - ИАСиД</t>
  </si>
  <si>
    <t xml:space="preserve">Посвящение в первокурсники ИСиЧЛХ </t>
  </si>
  <si>
    <t xml:space="preserve">Для первокурсников ИСиЧЛХ была организована концертная программа, в которой принимали участие непосредственно студенты 1 курса. Помимо этого превокрусники разделились на команды и соперничали между собой содержанием своей программы.  </t>
  </si>
  <si>
    <t xml:space="preserve">Посвящение в первокурсники МА </t>
  </si>
  <si>
    <t xml:space="preserve">Для первокурсников МА была организована концертная программа, в которой принимали участие непосредственно студенты 1 курса. Помимо этого превокрусники разделились на команды и соперничали между собой содержанием своей программы.  </t>
  </si>
  <si>
    <t xml:space="preserve">Посвящение в первокурсники ИИЭиР </t>
  </si>
  <si>
    <t xml:space="preserve">Для первокурсников ИИЭиР была организована концертная программа, в которой принимали участие непосредственно студенты 1 курса. Помимо этого превокрусники разделились на команды и соперничали между собой содержанием своей программы.  </t>
  </si>
  <si>
    <t>Студенческий совет ИСиЧЛХ</t>
  </si>
  <si>
    <t>Студенческий совет МА</t>
  </si>
  <si>
    <t>Студенческий совет  ИИЭиР</t>
  </si>
  <si>
    <t>Митинг ко Дню памяти сотрудников погибших при исполнении служебного долга.</t>
  </si>
  <si>
    <t>КБР, г. Нальчик, просп. Шогенцукова, 41</t>
  </si>
  <si>
    <t xml:space="preserve">Участие в мероприятии </t>
  </si>
  <si>
    <t>Возложение посвященная памяти трагическим событиям 13 октября 2005 года, в целях формирования у молодёжи активной гражданской позиции.</t>
  </si>
  <si>
    <t>Встреча с заместитлем Председателя Правительства Кашироковым З.К.</t>
  </si>
  <si>
    <t>КБР, г. Нальчик, КБГУ, ул. Чернышевского, 173, Темиркановский зал КБГУ</t>
  </si>
  <si>
    <t>Встреча посвященная памяти трагическим событиям 13 октября 2005 года, с заместителем Председателя Правительства Кашироковым Залимом Карачаевичем, в целях формирования у молодёжи активной гражданской позиции.</t>
  </si>
  <si>
    <t>Встреча со специалистами службы кадрового сопровождения "КУРС НА СЕВЕР"</t>
  </si>
  <si>
    <t>Межрегиональный</t>
  </si>
  <si>
    <t>В центре культуры имени Х.С. Темирканова прошла встреча со специалистами службы кадрового сопровождения «КУРС НА СЕВЕР». Представители Мурманской области рассказали студентами КБГУ о преимуществах работы в их регионе, возможностях для достойного заработка и дополнительных мерах поддержки для педагогов. Проект реализуется в соответствии с Постановлением Правительства Мурманской области на базе Центра занятости населения и направлен на привлечение квалифицированных специалистов в бюджетные организации региона.</t>
  </si>
  <si>
    <t xml:space="preserve">Встреча с председателем международной Исламской миссии </t>
  </si>
  <si>
    <t>В творческой мастерской им. А.Н. Сокурова с председателем Международной исламской миссии, полномочным представителем Управления мусульман Кавказа и генеральным представителем Координационного центра мусульман Северного Кавказа в Москве Шафигом Пшихачевым.</t>
  </si>
  <si>
    <t> VII Межрегиональный форум «Доброволец республики 2024»</t>
  </si>
  <si>
    <t> Онлайн форум VII Межрегиональный форум «Доброволец республики 2024» в котором приняли участие активисты Волонтерского центра КБГУ</t>
  </si>
  <si>
    <t>Патриотический форум от Российского Общества «Знание»</t>
  </si>
  <si>
    <t>Патриотический форум от Российского Общества «Знание» прошел в стенах Кабардино-Балкарского государственного университета при поддержке Волонтерского центра КБГУ</t>
  </si>
  <si>
    <t>Ряд тренинг-лекций "Волонтерство - это"</t>
  </si>
  <si>
    <t xml:space="preserve">Тренинг-лекции для студентов КБГУ, направленнные на вовлечение студентов в различные направления добровольчества. </t>
  </si>
  <si>
    <t>Майнкрафт Шоу, Нальчик</t>
  </si>
  <si>
    <t xml:space="preserve">КБР, г. Нальчик, пл. 400-летия, д. 1. </t>
  </si>
  <si>
    <t xml:space="preserve">Помошь в организации Minecraft шоу для детей и их родителей. </t>
  </si>
  <si>
    <t>В честь одного из самых молодых праздников России в холле вуза прошла масштабная выставка национальных подворий. Студенты из более чем 40 стран мира знакомили гостей с обычаями и традициями своей родины и предлагали отведать блюда национальной кухни.
Участники сформировали семь подворий, в которых объединились жители Индии, Африки, Туркменистана и Иордании от иностранных государств и кабардинцы, балкарцы и русские от коренных народов нашей республики.
Произошёл и культурный обмен. Студенты из Индии показали, как наносить рисунок хной. Иорданцы учили желающих, как правильно повязать «арафатку».
Иорданцы также стали главными заводилами праздника. Левантийский арабский народный танец «дабке», популярный в Ливане, Палестине, Сирии, Иордании и Ираке, заворожил буквально всех. В круг с арабами встали туркмены и африканцы. Это и есть народное единство и сближение культур.</t>
  </si>
  <si>
    <t>Выставка национальных подворий</t>
  </si>
  <si>
    <t>Награждение участников  конкурса «Топ-99 наставников»</t>
  </si>
  <si>
    <t>Встреча со специалистами «Многофункционального молодежного центра»</t>
  </si>
  <si>
    <t>В КБГУ им. Х.М. Бербекова состоялась экспертно-аналитическая сессия в рамках проекта «Смыслы Кавказа». С приветственным словом в адрес присутствующих выступил проректор КБГУ Беслан Назранов, отметив важность данного мероприятия и пожелав плодотворной работы. Гостем нашего университета сегодня стал начальник департамента по реализации общественных проектов аппарата полномочного представителя Президента РФ в СКФО Андрей Карпов. В ходе встречи студенты также получили возможность задать специалистам интересующие их вопросы.</t>
  </si>
  <si>
    <t>Экспертно-аналитическая сессия в рамках проекта «Смыслы Кавказа»</t>
  </si>
  <si>
    <t>В центре культуры имени Х.С. Темирканова прошло награждение участников  конкурса «Топ-99 наставников» и вручение сертификатов участникам образовательной программы «Наставник 2.0».</t>
  </si>
  <si>
    <t>Оперативно-профилактическое мероприятие «Нет ненависти и вражде!»</t>
  </si>
  <si>
    <t>КБР, г. Нальчик, КБГУ, ул. Чернышевского, 175</t>
  </si>
  <si>
    <t xml:space="preserve">В центре культуры им. Х.С. Темирканова состоялось федеральное оперативно-профилактическое мероприятие «Нет ненависти и вражде!», организованное Центром по противодействию экстремизму МВД по КБР и Центром по профилактике экстремизма и терроризма КБГУ.  Организаторами встречи являются КЦ КБГУ, МВД по КБР и  Молодежное Правительство КБР. Встреча проходила по формированию у молодежи активной гражданской позиции. </t>
  </si>
  <si>
    <t>Духовно-нравственное</t>
  </si>
  <si>
    <t>Беседа "Традиционные семейные ценности"</t>
  </si>
  <si>
    <t>КБР, г. Нальчик, КБГУ, ул. Чернышевского, 180</t>
  </si>
  <si>
    <t xml:space="preserve">Беседа "Управление конфликтами"                       </t>
  </si>
  <si>
    <t>В рамках беседы на тему «Управление конфликтами» студентам вторых курсов Института физики и математики  предложено порассуждать о моделях разрешения конфликтных ситуаций. При этом доцент Института педагогики, психологии и ФСО Рахима Малкарова подчеркнула,  что многое в исходе конфликтной ситуации зависит от психотипа личности, и выяснение истинной причины назревшего конфликта может привести к его успешному разрешению.</t>
  </si>
  <si>
    <t xml:space="preserve">Гражданское </t>
  </si>
  <si>
    <t>Для первокурсников Института экономики, права и менеджмента организована открытая лекция "Антикоррупционное сознание студента КБГУ" , в ходе которой доцентом кафедры экономики и учетно-аналитических информационных систем Бэллой Казиевой приведены примеры коррупционных действий с точки зрения причинённого вреда государству и обществу</t>
  </si>
  <si>
    <t>Круглый стол по вопросам защиты социальных проектов</t>
  </si>
  <si>
    <t>Лекция  "Профилактика стресса"</t>
  </si>
  <si>
    <t>Доцент ИПП и ФСО Рахима Малкарова обсудила со второкурсниками направления "Педиатрия" Медицинской академии вопросы профилактики стресса. Лектор отметила, что в повседневной жизни стрессовые ситуации возникают у человека постоянно и, если понять их причины, можно попробовать предупредить и даже победить стресс. Обсуждались конфликты ролей и их неопределенность как наиболее частые моменты, способствующие возникновению стрессовых ситуаций. Студенты в свою очередь поделились своими способами борьбы со стрессом.</t>
  </si>
  <si>
    <t>Круглый стол "Проблемы коррупции сквозь призму основ российской государственности"</t>
  </si>
  <si>
    <t>Международный день студентов</t>
  </si>
  <si>
    <t xml:space="preserve">Посвящение в первокурсники института менеджмента, туризма и индустрии гостеприимства </t>
  </si>
  <si>
    <t xml:space="preserve">Посвящение в первокурсники института права, экономики и финансов </t>
  </si>
  <si>
    <t>Открытие первичного отделения Общероссийского общественно-государственного движения детей и молодёжи "Движение первых"</t>
  </si>
  <si>
    <t>Отборочный турнир по шахматам</t>
  </si>
  <si>
    <t xml:space="preserve">КБР, г. Нальчик, КБГУ, ул. Чернышевского, 173 </t>
  </si>
  <si>
    <t>В Кабардино-Балкарском государственном университете им. Х.М. Бербекова открыто первичное отделение общероссийского общественно-государственного движения детей и молодежи «Движение Первых».
Среди почетных гостей министр по делам молодежи КБР Азамат Люев, представители Луганского государственного педагогического университета, а также председатель правления «Движения Первых» Ксения Янова. Она выразила уверенность, что Кабардино-Балкарский госуниверситет станет главной методической базой и центром наставничества для вожатского корпуса «Движения Первых» в республике.
Проректор по молодёжной политике и воспитательной работе КБГУ Беслан Назранов и председатель совета РО РДДМ «Движение Первых» Аслан Шипшев подписали двустороннее соглашение о сотрудничестве. А новые участники прочитали клятву, в которой они обязуются следовать принципам и ценностям молодёжного объединения.
Торжественную церемонию открытия первичного отделения «Движения Первых» в КБГУ украсили выступления духового оркестра Музыкального кадетского корпуса Северо-Кавказского государственного института искусств и вокалистов хора первой детской школы искусств Нальчика.</t>
  </si>
  <si>
    <t>Партия в настольные игры "Трамвай смерти", "Манчкин: Стимпанк", "Цитадели", "Забытые боги"</t>
  </si>
  <si>
    <t>Перед студентами выступила доцент ИПЭиФ Залина Шогенцукова с сообщением об антикоррупционной политике и влиянии последствий коррупции на функционирование государства. Студенты узнали об общественной опасности данного явления и состоянии коррупционной преступности в России. По завершении выступления состоялась открытая дискуссия.</t>
  </si>
  <si>
    <t>В творческой мастерской имени А.Н.Сокурова прошло посвящение в первокурсники института права, экономики и финансов, в рамках которого дружинники обеспечивали охрану порядка.</t>
  </si>
  <si>
    <t>На Нальчикском ипподроме пррошло закрытие скакового сезона 2024, в рамках которого дружинники обеспечивали охрану порядка.</t>
  </si>
  <si>
    <t>Традиционно КБГУ им. Х.М. Бербекова прошло мероприятие посвященное Дню основания КБГУ, в рамках которого дружинники обеспечивали охрану порядка.</t>
  </si>
  <si>
    <t>В центре культуры имени Х.С. Темирканова прошла значимая встреча, посвыященная трагическим событиям в Нальчике 13 октября 2005 года, в рамках которой дружинники обеспечивали охрану порядка.</t>
  </si>
  <si>
    <t>В КБГУ прошел торжественный концерт к Международному дню студентов, в рамках которого дружинники обеспечивали охрану порядка.</t>
  </si>
  <si>
    <t>В творческой мастерской имени А.Н.Сокурова прошло посвящение в первокурсники института менеджмента, туризма и индустрии гостеприимства, в рамках которого дружинники обеспечивали охрану порядка.</t>
  </si>
  <si>
    <t>В центре культуры имени Х.С Темирканова прошло открытие первичного отделения Общероссийского общественно-государственного движения детей и молодёжи "Движение первых", в рамках которого дружинники обеспечивали охрану порядка.</t>
  </si>
  <si>
    <t>Партия в настольные игры "Забытые боги","Бэнг: Меч Самурая", "Цитадели", "Хугермугер"</t>
  </si>
  <si>
    <t>Актив клуба настольных игр провел для студентов встречу по настольной игре "Письма призрака", игра схожа с "Мафией", но с дополнительными условиями. Игра легкая, веселая, рассчитана на большую компанию.</t>
  </si>
  <si>
    <t>Актив клуба настольных игр провел для студентов еженедельную партию в настольные игры. Участники сыграли в экономическую  игру "Эвердейл", основаную на построении своего города, и в "Древний ужас", игру основанную на приключении, мифах и истории.</t>
  </si>
  <si>
    <t>Актив клуба настольных игр провел для студентов встречу по настольным играм "Экивоки", а также "Чужая планета" (ассиметричная игра, раскрывает тему космоса).</t>
  </si>
  <si>
    <t>Актив клуба настольных игр провел для студентов встречу по настольным играм "Каркасон" и "Цитадели".</t>
  </si>
  <si>
    <t>Актив клуба настольных игр провел для студентов встречу по стратегической настольной игре "Игра Престолов. Второе издание".</t>
  </si>
  <si>
    <t>Актив клуба настольных игр провел для студентов встречу по  длительной партии в настольно-ролевую игру жанра фэнтези "Подземелья и Драконы".</t>
  </si>
  <si>
    <t>Актив клуба настольных игр провел для студентов встречу в настольные игры "Ярость Дракулы", "Письма призраку" и "Нечто: из глубокой бездны".</t>
  </si>
  <si>
    <t>Актив клуба настольных игр провел для студентов встречу по настольной игре  "Спортивная Мафия"с ознокомительной партией.</t>
  </si>
  <si>
    <t>Актив клуба настольных игр провел для студентов встречу по настольной стратигической игре "Цитадели", другие игроки сумели провести несколько игр в дуэльно-стратигическую  "Звёздные империи". После этого все приступили к той самой игре похожей на мафию - "Письма призраку".</t>
  </si>
  <si>
    <t>Актив клуба настольных игр провел для студентов встречу по настольно-ролевой игре жанра фэнтези "Подземелья и Драконы".</t>
  </si>
  <si>
    <t>Актив клуба настольных игр провел для студентов встречу по настольной игре  "Манчкин: Стимпанк".</t>
  </si>
  <si>
    <t>Актив клуба настольных игр провел для студентов встречу по упрощённой версии довольно знаменитой системы настольно ролевых игр «Подземелья и Драконы». Игра проходила на 3-х столах. За каждым столом был ведущий, «Мастер подземелий». Участники отыгрывали роль каждый своего персонажа в фэнтезийном мире и проходили квест, приключение, подготовленное Мастером.</t>
  </si>
  <si>
    <t>Актив клуба настольных игр провел для студентов встречу по настольной игре "Эпичные схватки боевых магов: Лютый дебош в Адской школе".</t>
  </si>
  <si>
    <t>Актив клуба настольных игр провел для студентов встречу по настольной игре "Письма призраку".</t>
  </si>
  <si>
    <t>Актив клуба настольных игр провел для студентов встречу по настольной стратегической игре "Эвердейл".</t>
  </si>
  <si>
    <t xml:space="preserve">Актив клуба настольных игр провел для студентов встречу по настольной психологически-социальной игре "Бункер". </t>
  </si>
  <si>
    <t>Актив клуба настольных игр провел для студентов встречу по психологической настольной игре "Спортивная мафия".</t>
  </si>
  <si>
    <t>Актив клуба настольных игр провел для студентов встречу по настольной игре "Нечто: из глубокой бездны".</t>
  </si>
  <si>
    <t>Творческий конкурс«Fashion-Сходка»</t>
  </si>
  <si>
    <t xml:space="preserve">Проведен творческий конкурс, где участники смотря на аксессуары на экране, придумывали к ним образ, который больше всего подходил к данным аксессуарам. Определено 5 призовых мест по итогам обсуждений. </t>
  </si>
  <si>
    <t>В зале общественных инициатив КБГУ прошло мероприятие в рамках оперативно-профилактической акции «Нет ненависти и вражде», инициированной МВД по КБР.
Спикерами выступили старший оперуполномоченный Центра по противодействию экстремизму МВД по КБР, старший лейтенант полиции Гуслистова Виктория Александровна и начальник отдела социально-профилактической работы и взаимодействия с молодежными субкультурами Молодежного центра КБР Тлехураев Заур Анзорович.</t>
  </si>
  <si>
    <t>Открытая лекция "Антикоррупционное сознание студента КБГУ" </t>
  </si>
  <si>
    <t>Заместитель муфтия КБР Алим Сижажев провел со студентами обсуждение на тему семейных ценностей. На мероприятии речь шла  о роли мужчины и женщины в семье, приоритетных традиционных ценностях, уважении к старшим, взаимоуважении и т.д.</t>
  </si>
  <si>
    <t>Лекция "Борьба с фейковой информацией"</t>
  </si>
  <si>
    <t>Директор центра развития карьеры, лектор Российского общества «Знание» Кристина Лопатина обсудила вопросы организации и проведения мероприятий, направленных на противодействие распространению фейковой информации со студентами 3 курса направления "Организация работы с молодежью".</t>
  </si>
  <si>
    <t>Круглый стол по вопросам защиты социальных проектов проведен с участием администратора Юридической клиники КБГУ Карины Батыровой и ассистента кафедры теории и технологии социальной работы Алины Коготыжевой. Мероприятие носило характер экспертной сессии. Студентов интересовали вопросы, касающиеся организации деятельности Юридической клиники, этапов консультирования, целевых групп и т.д.</t>
  </si>
  <si>
    <t>Торжественное награждение победетилей спартакиады "Приз первокурсника"</t>
  </si>
  <si>
    <t>В физкультурно-спортивном комплексе КБГУ прошло торжественное награждение победителей и призеров спартакиады «Приз первокурсника».</t>
  </si>
  <si>
    <t>Соревнования по волейболу и футболу «Суперкубок» среди студентов и сотрудников вуза</t>
  </si>
  <si>
    <t>В физкультурно-спортивном комплексе состоялись матчи «Суперкубка» по волейболу и футзалу, в которых встретились победители спартакиад среди студентов и сотрудников университета. Эти игры были приурочены к Международному дню студентов. Студенты одержали победу в обоих матчах: по футзалу они выиграли со счётом 6:3, а по волейболу — 2:1</t>
  </si>
  <si>
    <t>КБР, г. Нальчик, Зал заседания ученого совета, ул. Чернышевского, 173</t>
  </si>
  <si>
    <t>Прошла встреча и.о. ректора университета Юрия Альтудова со сборной КБГУ по футболу. Команда успешно выступила во Всероссийских соревнованиях Национальной студенческой футбольной лиги, выполнив задачу выхода в высший дивизион группы «А». Юрий Камбулатович поблагодарил спортсменов за их красивую и результативную игру. Также на встрече были затронуты вопросы модернизации университетского стадиона, популяризации футбола среди студентов и приобретения новой экипировки для команды.</t>
  </si>
  <si>
    <t>Спортивный фестиваль "КБГУ без границ"</t>
  </si>
  <si>
    <t xml:space="preserve">В этом событии приняли участие более 100 студентов со всех структурных подразделений нашего вуза. Целью мероприятия - вовлечение наибольшего количества ребят в спортивную деятельность благодаря таким видам спорта, как бочча, голбол, дартс и стрельба из лука. </t>
  </si>
  <si>
    <t>Встреча и.о. ректора КБГУ со сборной КБГУ по футболу</t>
  </si>
  <si>
    <t>28.11.2024-01.12.2024</t>
  </si>
  <si>
    <t>Выставка вооружения и трофейной техники, захваченной российскими военнослужащими в ходе проведения специальной военной операции</t>
  </si>
  <si>
    <t>КБР, г. Нальчик, площадь Абхазия</t>
  </si>
  <si>
    <t>Студенты Кабардино-Балкарского государственного университета им. Х.М. Бербекова вместе с руководителем Центра гражданско-патриотического воспитания молодежи вуза Германом Шевчуком побывали на выставке вооружения и трофейной техники, захваченной российскими военнослужащими в ходе проведения специальной военной операции.
Зрителям демонстрировали беспилотные летательные аппараты, военную технику, стрелковые орудия, которые бойцы Южной группировки войск захватили при выполнении задач в зоне СВО на Донецком и Авдеевском направлениях в ДНР. Для посетителей работала полевая кухня, на сцене выступали артисты местной эстрады, а желающие могли получить консультацию и записаться на службу по контракту в мобильном пункте отбора на военную службу.</t>
  </si>
  <si>
    <t>Турнир по настольной игре "Таверна Красный Дракон"</t>
  </si>
  <si>
    <t>Партия в настольно-ролевую игру "D&amp;D"</t>
  </si>
  <si>
    <t>Партия в настольную игру "Любительская мафия"</t>
  </si>
  <si>
    <t>Партии по шахматам</t>
  </si>
  <si>
    <t>Актив клуба настольных игр провел для студентов серию ваншотов, адаптированных под киновселенные настольной игры ДнД.</t>
  </si>
  <si>
    <t>Актив клуба настольных игр провел для студентов игровой день.</t>
  </si>
  <si>
    <t>Актив клуба настольных игр провел для студентов игровой день по стратегически-экономической игре "7 чудес".</t>
  </si>
  <si>
    <t>Актив клуба настольных игр провел для студентов игровой день в  кооперативную картточную игру "Гномы-Вредители", "Форт".</t>
  </si>
  <si>
    <t>Актив клуба настольных игр провел для студентов игровой день по трем играм. Победители получили памятные призы. Первое место - Камболов Каурбек Аланович, второе - Шувалов Даниил Валерьевич, третье - Азиева Амина Мурадовна.</t>
  </si>
  <si>
    <t>Актив клуба настольных игр провел для студентов игровой день по настольно-ролевой игра "D&amp;D.Lite 7". Прошла седьмая игра по упрощённой версии довольно знаменитой системы настольно ролевых игр «Подземелья и Драконы». Игра проходила на 3-х столах. За каждым столом был ведущий - «Мастер подземелий». Участники отыгрывали роль своего персонажа в фэнтезийном мире и проходили квест, приключение, подготовленное Мастером.</t>
  </si>
  <si>
    <t>Актив клуба настольных игр провел для студентов игротеку. На 5 столах были представлены игры как: “Письма призрака” – пстхологическая игра похожая на Мафию, “Русский Манчкин” – игра боевая стратегия с повышением уровня и снаряжения, “Орифлама” – стратегическая игра с простыми механиками, “Фудсовет” – экономическая игра про создание своего продукта, “Чужая планета” – психологическая игра с элементом догонялок.</t>
  </si>
  <si>
    <t>Актив клуба настольных игр провел для студентов игровой день по настольным играм “Кольт-Экспресс” - стратегическая игра в стилистеке Дикого запада, “Бэнг: Меч Самурая” - психологическая игра, похожая на Мафию, но с более интересными техниками.</t>
  </si>
  <si>
    <t>Актив клуба настольных игр провел для студентов игровой день по играм “Каркасон” - стратегическая игра в стилистеке Европейского Средневековья, “Бэнг: Меч Самурая” - психологическая игра, похожая на Мафию, но с более интересными техниками.</t>
  </si>
  <si>
    <t>Актив клуба настольных игр провел для студентов игровой день по играм “Манчкин” - стратегическая игра про развитие персонажа, “Бэнг: Меч Самурая” - психологическая игра, похожая на Мафию, но с более интересными механиками, “Письма призрака” - психологическая игра, похожая на Мафию, но где подсказки дает призрак.</t>
  </si>
  <si>
    <t>Актив клуба настольных игр провел для студентов игровой день по играм "Нуар" - психологическая и стратегическая игра" "Бэнг: Меч Самурая" - игра похожая на мафию и в жанре боевик, "Битва за ракуган" - стратегическая игра, "Каркасон" - стратегическая игра.</t>
  </si>
  <si>
    <t>Актив клуба настольных игр провел для студентов  ознакомительные игра по Любительской мафией, а также "Нечто: из глубокой бездны" - психологическая игра, "Бэнг: Меч Самурая" - игра похожая на мафию с жанром боевик, "Каркасон" - стратегическая игра, "Нуар" - психологическая и стратегическая игра.</t>
  </si>
  <si>
    <t>Актив клуба настольных игр провел для студентов игровой день по играм "Нечто: из глубокой бездны" - психолгическая игра, "Нуар" - психологическая и стратегическая игра, "Письма призрака" - психологичская игра.</t>
  </si>
  <si>
    <t>Актив клуба настольных игр провел отборочные игры среди студентов, представителей разных подразделений вуза. Прошедшие в турнире будут представлять Кабардино-Балкарский государственный университет в шахматном Турнире "IV Студенческий Кубок ВУЗов - 2024". Победителями отборочного турнира стали: Мафедзов Саид Суфьянович, ИИИиЦТ; Хоргуани Владимир Владимирович, КИТиЭ; Ханукоева Елизавета Игоревна, ИФиМ.</t>
  </si>
  <si>
    <t>Актив клуба настольных игр провел игровой день по играм "Забытые боги" - игра в жанре карточных игр и для общительных; "Бэнг: Меч Самурая" - игрой похожей на мафию и в жанре боевик; "Цитадели" - логичесаакая и стратегическая игра; "Хугермугер" - весёлой игрой для больших компаний и говорливых.</t>
  </si>
  <si>
    <t>Актив клуба настольных игр провел игровой день по играм  "Манчкин: Стимпанк" - стратегической игрой про развитие персонажа; "Цитадели" - логичесаакая и стратегическая игра; "Забытые боги" - игра в жанре карточных игр и для общительных; "Трамвай смерти" - игра для больших компаний, где много споров</t>
  </si>
  <si>
    <t>Актив клуба настольных игр провел игровой день по настольной игре Таверна «Красный дракон». Участники боролись в игре за свои жизни (и золото), но в итоге только несколько студентов стали победителями: Эристаев Омар Мухарбиевич, Маршенкулов Мурат Мухамедович,  Нагоев Дамир Сарабиевич, Шибзухов Залим Мусалимович, Готыжев Имран Асланович.</t>
  </si>
  <si>
    <t>Актив клуба настольных игр провел игровой день по настольно-ролевой игре "D&amp;D"</t>
  </si>
  <si>
    <t>Актив клуба настольных игр провел психологическую ролевую игру "Любительская мафия".</t>
  </si>
  <si>
    <t>Актив клуба настольных игр провел несколько партий по шахматам, для поддержания и улучшения уровня игры шахматистов КБГУ.</t>
  </si>
  <si>
    <t>Викторина "Своя игра"</t>
  </si>
  <si>
    <t>КБР, г. Нальчик, КБГУ, ул. Чернышевского, 173, Темиркановский зал</t>
  </si>
  <si>
    <t>Литературным клубом был организована викторина "Своя игра", в которой студенты проверили свои знания  и области литературы, познакомились с новыми произведениями и авторами. Участники объединились в команды, что способствовало взаимодействию и обмену знаниями. С подведением итогов вышло 3 победителя, которые получили свои призы.</t>
  </si>
  <si>
    <t>Мастер класс по изготовлению открыток</t>
  </si>
  <si>
    <t>В ходе мастер-класса участники познакомились с основами создания открыток своими руками. Ведущий мероприятия продемонстрировал различные техники работы с бумагой, картоном и декоративными материалами. Участники создали несколько уникальных открыток .</t>
  </si>
  <si>
    <t>Неформальная конференция "Митап"</t>
  </si>
  <si>
    <t xml:space="preserve">Активом клуба проведена неформальная конференция. Ключевое отличие этого формата мероприятий от других (по типу конференции или симпозиума) — это неформальный характер. Акцент делается на «горизонтальную» коммуникацию между участниками, хотя выступления спикеров тоже присутствуют. </t>
  </si>
  <si>
    <t>Научный кинопоказ</t>
  </si>
  <si>
    <t xml:space="preserve">Проведен кинопоказ с тематикой научно-популярного филма. Научно-популярный фильм - жанр кинодокументалистики, задачей которого является обнародовать научные сведения, факт и результаты исследований, описать на уровне общих понятий научные гипотезы, идеи, открытия, взгляды. Таким образом, просмотр научного фильма был  направлен на популяризацию у зрителей научного подхода для восприятия окружающей действительности. </t>
  </si>
  <si>
    <t xml:space="preserve">Интеллектуально-развлекательная игра "Pop science" </t>
  </si>
  <si>
    <t>Активом клуба проведена интеллектуально-развлекательная игра, которая включала в себя несколько этапов различной сложности на определенные темы с использованием интерактивных технологий.
Цель - развитие эрудиции, умения работать в команде, прислушиваться к мнению товарищей при выборе правильного ответа, обосновывать свой ответы и доказывать свою точку зрения, развитие познавательного интереса к различным разделам науки.</t>
  </si>
  <si>
    <t>44 Международный студенческий фестиваль ВГИК «Кино будущего»</t>
  </si>
  <si>
    <t>КБР, г. Нальчик, КБГУ, ул. Чернышевского, 176</t>
  </si>
  <si>
    <t>УМПиВР КБГУ, Кино клуб КБГУ</t>
  </si>
  <si>
    <t>13 октября в Центре культуры им. Х.С. Темирканова прошел показ студенческих короткометражных фильмов выпускников ВГИК в рамках 44 Международного студенческого фестиваля "Шаг в будущее".</t>
  </si>
  <si>
    <t xml:space="preserve">Еженедельный конкурс "Культура своего народа" </t>
  </si>
  <si>
    <t xml:space="preserve">Проведеи онлайн-конкурс фотографий на тему «Культура своего народа». Участвововали студенты СПО и ВО структур. 
</t>
  </si>
  <si>
    <t xml:space="preserve">Еженедельный конкурс "Природа" </t>
  </si>
  <si>
    <t>Проведеи онлайн-конкурс фотографий на тему «Природа». Участвовуют студенты СПО и ВО структур.</t>
  </si>
  <si>
    <t>Просмотр кинокартины "Чебурашка"</t>
  </si>
  <si>
    <t xml:space="preserve">Для организации лингвистической практики студентов ВУЗа в неформальной среде в центре культуры им. Х.С. Темирканова был организован билингвистический кинопросмотр отечественной картины "Чебурашка", приуроченный к празднованию Нового года. </t>
  </si>
  <si>
    <t>Просмотр кинокартины "Чарли и шоколадная фабрика"</t>
  </si>
  <si>
    <t xml:space="preserve">Для организации лингвистической практики студентов ВУЗа в неформальной среде в центре культуры им. Х.С. Темирканова был организован билингвистический кинопросмотр картины "Чарли и школадная фабрика", приуроченный к празднованию Нового года. </t>
  </si>
  <si>
    <t xml:space="preserve">Разговорная встреча на английском языке, посвященная обсуждению восточно-азиатской культуры. Организована совместно с клубом азиатской культуры "Нить". </t>
  </si>
  <si>
    <t xml:space="preserve">Разговорная встреча на русском языке, посвященная обсуждению игры в шахматы. Организована совместно с клубом настольных игр "Куб". </t>
  </si>
  <si>
    <t xml:space="preserve">Разговорная встреча на русском языке, посвященная обсуждению киновселенных Marvel и DC. Организована совместно с киноклубом КБГУ. </t>
  </si>
  <si>
    <t>В честь дня книгодарения состоялась коллоборация в ходе которой активисты литературного и интернационального клуба раздавали студентам открытки с цитатами на разных языках</t>
  </si>
  <si>
    <t>Литературный клуб КБГУ, клуб интернациональной дружбы КБГУ</t>
  </si>
  <si>
    <t>Клуб интернациональной дружбы КБГУ, клуб настольных игр КБГУ "Куб"</t>
  </si>
  <si>
    <t xml:space="preserve">Шахматный турнир организован Клубом интернациональной дружбы совместно с Клубом настольных игр. Победу в турнире одержал Камболов Каурбек, второе и третье места заняли Али Юсеф Юсри и Елфар Еслам Мостафа соответсвенно. Победитель был награжден кубком, а все трое призеров - стилизованными медалями. </t>
  </si>
  <si>
    <t>Презентация настольной игры «Сосруко и семена проса»</t>
  </si>
  <si>
    <t>КБР, г.Нальчик, ГБУ "ММЦ КБР", ул. Кулиева, 12</t>
  </si>
  <si>
    <t xml:space="preserve">Презентация авторской этно-игры Алеси Абазовой, студентки Высшей школы экономики, прошедшая в Доме молодежи КБР. Одними из первых поиграли в авторскую настольную игру активисты Клубов интернациональной дружбы и настольных игр. </t>
  </si>
  <si>
    <t>Клуб интернациональной дружбы КБГУ, Клуб настольных игр КБГУ "Куб"</t>
  </si>
  <si>
    <t xml:space="preserve">Проведена разговорная встреча на английском языке, посвященная обсуждению того, что вызывает у людей раздражение и злость. Цель встречи – создание искусственной языковой среды, в рамках которой становится оптимальной языковая практика, ликвидируются коммуникационные барьеры и расширяется лексический запас участников встречи. </t>
  </si>
  <si>
    <t xml:space="preserve">Проведена разговорная встреча на английском языке в коллаборации с клубом азиатской культуры. Тема разговорной встречи – Корейский кинематограф.
Цель встречи – создание искусственной языковой среды, в рамках которой становится оптимальной языковая практика, ликвидируются коммуникационные барьеры и расширяется лексический запас участников встречи. </t>
  </si>
  <si>
    <t xml:space="preserve">Проведена разговорная встреча на английском языке, посвященная обсуждению разных вопросов из разных сфер мировой культуры,благодаря которым участники поделились своими взглядами на жизнь. Цель встречи – создание искусственной языковой среды, в рамках которой становится оптимальной языковая практика, ликвидируются коммуникационные барьеры и расширяется лексический запас участников встречи. </t>
  </si>
  <si>
    <t>УМПиВР КБГУ, патриотический клуб КБГУ "Кавказ"</t>
  </si>
  <si>
    <t>Всероссийский военно-патриотический лагерь "Зилахар"</t>
  </si>
  <si>
    <t>16.10.2024 - 21.10.2024</t>
  </si>
  <si>
    <t>Республика северная Осетия - Алания, г.Владикавказ</t>
  </si>
  <si>
    <t>С 16 по 21 октбря активисты патриотического клуба "Кавказ" приняли участие во всероссийском военно-патриотическом лагере "Зилахар в Республике Северная Осетия - Алания. Участники форума встретились с ветеранами и героями специальной военной операции, что позволило им в формате живого диалога задать волнующие вопросы и узнать об их личном опыте.
В рамках программы участники также освоили навыки разборки и сборки оружия, стрельбы из лука и пневматической винтовки, прошли курсы оказания первой помощи и преодолели полосу препятствий.
Отдельное внимание было уделено плетению маскировочных сетей и изготовлению окопных свечей. Все эти изделия будут переданы бойцам на передовую, что придаёт действиям участников особое значение.</t>
  </si>
  <si>
    <t>Выставка "Быть героем - жить вечно"</t>
  </si>
  <si>
    <t>В День Героев Отечества, в холле главного корпуса КБГУ открылась выставка под названием «Быть героем - жить вечно». На портретах А3 представлены  выдающиеся личности, ставшие символом мужества, отваги и преданности своей Родине, Герои Советского Союза и Герои Российской Федерации родом из Кабардино-Балкарской Республики.</t>
  </si>
  <si>
    <t>Центр гражданско-патриотичсекого воспитания КБГУ, патриотический клуб КБГУ "Кавказ"</t>
  </si>
  <si>
    <t>В зале общественных инициатив КБГУ прошла презентация второго сборника историй ветеранов СВО «Нет уз святее товарищества». В мероприятии приняло участие первичное отделение "Движение Первых", "Молодая Гвардия Единой России" и "Волонтёрская Рота Боевого Братства". Мероприятие направлено на познание и изучение истории студенческой молодежью. Благодаря сборникам можно познакомиться с живыми историями соотечественников, узнать о их переживаниях и чувствах в ходе проведения операции.</t>
  </si>
  <si>
    <t>Презентация второго сборника историй ветеранов СВО «Нет уз святее товарищества»</t>
  </si>
  <si>
    <t>УМПиВР КБГУ, Центр гражданско-патриотичсекого воспитания КБГУ, патриотический клуб КБГУ "Кавказ"</t>
  </si>
  <si>
    <t>Выборы председателя клуба</t>
  </si>
  <si>
    <t>Партия в настольные игры "Нечто: из глубокой бездны", "Чужая планета", "Нуар", "Неудержимые единорожки"</t>
  </si>
  <si>
    <t xml:space="preserve">КБР, г. Нальчик, КБГУ, ул. Чернышевского, 173
</t>
  </si>
  <si>
    <t>Игроки смогли познакомиться играми: "Нечто: из глубокой бездны" - психологическая игра, "Чужая плонета" - психологическая и кооперативная игра, "Нуар" - детективная игра, "Неудержимые единорожки" - увлекательная карточная игра</t>
  </si>
  <si>
    <t>Разговорная встреча на английском языке «Игра в Эллиас»</t>
  </si>
  <si>
    <t>Состоялась разговорная встреча на английском языке, в рамках котрой участники, разделившись на команды, сыграли в игру "Эллиас". Цель игры - расширение словарного запаса. 
Цель встречи – создание искусственной языковой среды, в рамках которой становится оптимальной языковая практика, ликвидируются коммуникационные барьеры и расширяется лексический запас участников встречи.</t>
  </si>
  <si>
    <t>Интер-игра «Тайны третьей планеты»</t>
  </si>
  <si>
    <t>КБР, г. Нальчик, Молодёжный центр, ул. Кулиева, 12</t>
  </si>
  <si>
    <t>Клуб интернациональной дружбы КБГУ, Международный клуб Кабардино-Балкарской республики</t>
  </si>
  <si>
    <t>Пришедшие смогли продолжить свою длительную партию по настольно-ролевой игре "D&amp;D".</t>
  </si>
  <si>
    <t>Было проведено несколько партий по шахмат в классическом режиме.</t>
  </si>
  <si>
    <t>По итогам выборов новым председателем клуба настольных игр в 2025 году станет студент 2 курса ИИИиЦТ Кешев Бекмурза.</t>
  </si>
  <si>
    <t xml:space="preserve">Прошла новогодняя ИнтерИгра, проведённая совместно Международным клубом Кабардино-Балкарской республики «Тайны третьей планеты».
Участники познакомились с удивительными новогодними традициями разных стран, вспомнили крутые праздничные фильмы и мультфильмы и насладились зимним плейлистом любимых хитов. </t>
  </si>
  <si>
    <t>Мастер класс по игре Ашыкъ Оюн</t>
  </si>
  <si>
    <t>Разговорная встреча на английском языке на тему «А что если бы?»</t>
  </si>
  <si>
    <t xml:space="preserve">Состоялась разговорная встреча на русском языке, на которой участники поделились своими историями из жизни.
Цель встречи – создание искусственной языковой среды, в рамках которой становится оптимальной языковая практика, ликвидируются коммуникационные барьеры и расширяется лексический запас участников встречи.
</t>
  </si>
  <si>
    <t>Состоялась разговорная встреча на русском языке, на которой участники поделились своими историями из жизни.
Цель встречи – создание искусственной языковой среды, в рамках которой становится оптимальной языковая практика, ликвидируются коммуникационные барьеры и расширяется лексический запас участников встречи.</t>
  </si>
  <si>
    <t>Актив клуба првоел для желающих игровой день по настольной игре "Манчкин".</t>
  </si>
  <si>
    <t>Сессия по настольно-ролевой игре "Подземелья и Драконы"</t>
  </si>
  <si>
    <t>Актив клуба настольных игр провел для студентов  сессию длительной партии в настольно-ролевую игру жанра фэнтези "Подземелья и Драконы".</t>
  </si>
  <si>
    <t>Партия в настольную игру "Пандемия"</t>
  </si>
  <si>
    <t>Актив клуба настольных игр провел для студентов стратегически-командную игру "Пандемия".</t>
  </si>
  <si>
    <t>Актив клуба настольных игр провел для студентов сессию длительной партии в настольно-ролевую игру жанра фэнтези "Подземелья и Драконы".</t>
  </si>
  <si>
    <t>Партия в настольную игру "Чужая планета"</t>
  </si>
  <si>
    <t>Актив клуба настольных игр провел для студентов  игровой день по игре "Чужая планета", в которой предстоит убегать и прятаться от босса, преследующего их.</t>
  </si>
  <si>
    <t>Партия в настольные игры "Нечто" и "Звездные империи"</t>
  </si>
  <si>
    <t>Актив клуба настольных игр провел для студентов игру "Нечто" схожей с "Мафией", но более динамичной. Также была проведенена стратегическая игра "Звездные империи".</t>
  </si>
  <si>
    <t>Настольно-ролевая игра "D&amp;D.Lite 6 по миру кино"</t>
  </si>
  <si>
    <t>Партия в настольные игры "Каркасон" и "Орифлама"</t>
  </si>
  <si>
    <t>Актив клуба настольных игр провел для студентов игровой день по играм  "Каркасон" и "Орифлама". Было проведено 3 партии, две по "Орифламе" и одна по "Каркасон".</t>
  </si>
  <si>
    <t>Партия в настольную игру "Catan: Колонизаторы"</t>
  </si>
  <si>
    <t>Актив клуба настольных игр провел для студентов игру "Catan: Колонизаторы"</t>
  </si>
  <si>
    <t>Партия в настольные игры "Руский Манчкин", "Бэнг: Меч Самурая"</t>
  </si>
  <si>
    <t>Актив клуба настольных игр провел для студентов стратегическую игру "Русский Манчкин" - это игра про развитие персонажа, а также "Бэнг: Меч Самурая" - игра похожая на мафию и в жанре боевик.</t>
  </si>
  <si>
    <t>Партия в настольные игры "Подземелья и драконы", "Страдающее средневековье"</t>
  </si>
  <si>
    <t>Актив клуба настольных игр провел для студентов настольно-ролевую игру "Подземелья и драконы", а также познакомили участников с игрой для компании "Страдающее средневековье".</t>
  </si>
  <si>
    <t>Партия в настольные игры "Находка для шпиона", "Цитадели", "Мемы: Весело и в точку!"</t>
  </si>
  <si>
    <t>Партия в настольную игру "Письма призрака"</t>
  </si>
  <si>
    <t>Актив клуба настольных игр провел для студентов игротеку по играм  "Находка для шпиона" - логическая и психологическая игра, "Цитадели" - логическая и стратегическая игра, "Мемы: весело и в точку!".</t>
  </si>
  <si>
    <t>Актив клуба настольных игр провел для студентов "Письма пизрака" - стратегическую, логическую, психилогическую, ассоциативную игру.</t>
  </si>
  <si>
    <t>Партия в настольныке игры "Игра престолов: Второе издание", " Мемы: Весело и в точку!"</t>
  </si>
  <si>
    <t>Актив клуба настольных игр провел для студентов "Игру престолов: Второе издание" - стратегическую игру, " Мемы: Весело и в точку!" - веселая игра для компаний.</t>
  </si>
  <si>
    <t>Партия в настольные игры  "Эпичные схватки боевых магов: Крутогидон", "Мемы: Весело и в точку!", "Мемы-2: СССР и 90-е", "Бэнг: Меч Самурая", "Хугермугер"</t>
  </si>
  <si>
    <t>Актив клуба настольных игр провел для студентов игротеку "Эпичные схватки боеввых магов: Крутогидон" - карточная игра в жанре боевик ,"Мемы: Весело и в точку!" - весёлая игра для компаний ,"Мемы-2: СССР и 90-е" - ещё одна весёлая игра для компаний , "Бэнг: Меч самурая" - команднная игра в жанре боевик , "Хугермугер".</t>
  </si>
  <si>
    <t>На базе ЭУНК КБГУ прошла ежегодная образовательная "Волонтерская школа". Участниками стали активисты волонтерского центра с разных структурных подразделений. Участники форума прошли образовательный блок, состоявший из тренингов и лекций. Форум  включал в себя яркую культурно-творческую программу, где все студенты могли раскрыть свои таланты и навыки.</t>
  </si>
  <si>
    <t>Интеллектуальная игра для сотрудников КБГУ «ЧГК»</t>
  </si>
  <si>
    <t>«Наставник года - 2024»</t>
  </si>
  <si>
    <t>На сцене киноконцертного зала имени А.Н. Сокурова встретились шесть конкурсантов, чтобы побороться за звание «Наставник года - 2024».
Наставники академических групп продемонстрировали свои видео-визитки и творческие номера, проверили знания в интеллектуальной игре от сотрудника, а также приняли участие в импровизированных ставках.
По результатам конкурса звание вице-наставник года получила Марина Токмакова, а наставником года стала Динара Насыплиева.</t>
  </si>
  <si>
    <t>19.12.2024-23.12.2024</t>
  </si>
  <si>
    <t>Праздничный концерт в честь празднования 100-летия Педагогического колледжа</t>
  </si>
  <si>
    <t>УМПиВР КБГУ, педагогический колледж</t>
  </si>
  <si>
    <t>11.12.2024-17.12.2024</t>
  </si>
  <si>
    <t>Фестиваль студенческих объединений "СТУДstock"</t>
  </si>
  <si>
    <t>На базе эльбрусского учебно-научного комплекса прошла вторая смена федерального проекта "Студпутевка". Участниками смены стали студенты из образовательных учреждений новых присоединенных террирриторий: Луганского государственного педагогического университета, Луганского государственного аграрного университета имени К.Е. Ворошилова, Донецкого государственного медицинского университета имени М. Горького, Приазовского государственного технического университета, Донецкого института железнодорожного транспорта, Донецкого национального технического университета, Донецкого государственного университета, Донбасской национальной академии строительства и архитектуры, Донбасской аграрной академии и Азовского государственного педагогического университета..
Программа мероприятия включала интерактивное знакомство с  КБР, командообразующие мероприятия, презентация деятельности студенческого самуправления КБГУ, включающая в себя площадку по обмену опытом, интеллектуальные игры, экскурсии по достопремичательностям национального парка «Приэльбрусье», а также мероприятия кульутрно-творческой направленности.</t>
  </si>
  <si>
    <t>Федеральный проект "Студ.путевка" (2 смена)</t>
  </si>
  <si>
    <t xml:space="preserve">Ежегодное мероприятие - точка притяжения активистов и участников студенческих клубов вуза. В холле главного учебного корпуса расположились интерактивные площадки 19 студенческих клубов: литературный, экологический, кино, туристический, азиатский, волонтерский и т.д.  
Программа мероприятия включала знакомство всех желающих с деятельностью студенческого объединения, интерактивное взаимодействие на площадке, а также веселые конкурсы о студенчестве и вузе. </t>
  </si>
  <si>
    <t>Образовательная программа "Голос поколения"</t>
  </si>
  <si>
    <t>10.12.2024-12.12.2024</t>
  </si>
  <si>
    <t>В Кабардино-Балкарском государственном университете им. Х.М. Бербекова прошел очередной поток образовательного проекта «Голос Поколения. Преподаватели».
Программа позволила объединить на одной площадке педагогов высшей школы из разных регионов страны и создать мощную команду специалистов.
В рамках двух рабочих дней участники прослушали лекции от ведущих экспертов в области педагогики и психологии, бизнеса и молодежной политики.
Одним из ключевых мероприятий стала деловая игра «Конструктор воспитания». Работая в группах, преподаватели обсудили существующие воспитательные модели в образовательных организациях, а затем, в результате дискуссии, смогли по-новому взглянуть на систему воспитания и создать деятельностную модель воспитательной работы в вузе, а также найти свой уникальный подход к её организации.
В заключительный день заместитель министра образования и науки России Ольга Петрова провела онлайн-лекцию в киноконцертном зале им. А.Н. Сокурова. Тема её выступления: «Педагог – стратегический капитал государства».
По словам замглавы Минобрнауки РФ, для интеграции студентов в общественную жизнь региона университетам нужно вовлекать молодежь в социально-ориентированные проекты и приглашать работодателей в образовательные программы для более легкой адаптации выпускников.
Чтобы выпускники выбирали для дальнейшего проживания и места работы регион, где обучались, вузы используют различные механизмы выстраивания образовательного и воспитательного процессов.
Цель программы «Голос Поколения. Преподаватели» – расширить сообщества специалистов, которые занимаются воспитательной работой и молодежной политикой в университетах, за счет формирования сплоченных вузовских команд из преподавателей и проректоров по молодежной политике и воспитательной деятельности.
Проект реализуется Министерством науки и высшего образования РФ совместно с Федеральным агентством по делам молодежи (Росмолодежь).</t>
  </si>
  <si>
    <t>03.12.2024-07.12.2024</t>
  </si>
  <si>
    <t>Образовательный лагерь "Луч"</t>
  </si>
  <si>
    <t>В Эльбрусском учебно-научном комплексе КБГУ проходит яркий образовательный лагерь «Луч», направленный на приобщение студентов к общественной жизни вуза, работу со студентами из социально незащищенных категорий, студентов сирот, студентов оставшихся без попечения родителей, студентов из семей в трудной жизненной ситуации, студентов из семей участников СВО.
Программа форума включает в себя лекции и мастер-классы, работу с медицинским психологом, квесты, интеллектуальные игры, маскарадный вечер и, конечно же, любимые вечёрки.</t>
  </si>
  <si>
    <t>В киноконцертном зале им. А.Н. Сокурова состоялся ежегодный конкурс "Волонтер года" - настоящий праздник для всех, кто посвящает своё время и силы на благо общества.
Зрителями стали активисты волонтерского центра вуза с разных структурных подразделений. Программа мероприятия включала творческие выступления студенческих коллективов и артистов, блоки награждения самых активных представителей волнетрского центра вуза. Был и объявлены итоги года - "Волонтером года" стала Алиханова Эллина.</t>
  </si>
  <si>
    <t>В центре культуры им. Х.С. Темирканова прошло мероприятие, организованное трудовым экологическим отрядом "Зелёный дозор".
На площадках студенты смогли поучаствовать в таких процессах, как переработка крышек от пластиковых бутылок, вышивка картхолдеров из баннеров, нанесение принтов на футболки.</t>
  </si>
  <si>
    <t>Трудовой экологический отряд КБГУ "Зеленый дозор"</t>
  </si>
  <si>
    <t>Мастер-классы по переработке отходов</t>
  </si>
  <si>
    <t>Посвящение в первокурсники социально-гуманитарного иститута</t>
  </si>
  <si>
    <t>В киноконцертном зале имени А.Н.Сокурова прошло посвящение в первокурсники института права, экономики и финансов.</t>
  </si>
  <si>
    <t>В киноконцертном зале имени А.Н.Сокурова прошло посвящение в первокурсники социально-гуманитарного института.</t>
  </si>
  <si>
    <t>В творческой мастерской имени А.Н.Сокурова прошло посвящение в первокурсники института менеджмента, туризма и индустрии гостеприимства.</t>
  </si>
  <si>
    <t>Студенческий совет ИМТиИГ КБГУ</t>
  </si>
  <si>
    <t>Студенческий совета ИИИиЦТ КБГУ</t>
  </si>
  <si>
    <t>В творческой мастерской имени А.Н.Сокурова прошло посвящение в первокурсники института искусствченного интеллекта и цифровых технологий.</t>
  </si>
  <si>
    <t>Посвящение в первокурсники института искусствченного интеллекта и цифровых технологий</t>
  </si>
  <si>
    <t>Активисты клуба интернациональной дружбы совместно с руководителем центра балкарской культуры им. К.С. Отарова провели ознакомительное мероприятие для иностранных обучающихся. Студентов познакомили с культурой, обычаями, традициями, играми балкарского народа. Встреча получилась информативной и интересной.</t>
  </si>
  <si>
    <t>Праздничный концерт, посвященный Международному дню студента</t>
  </si>
  <si>
    <t>В киноконцертном зале им. А.Н. Сокурова состоялся праздничный концерт в четь Международного дня студента. В программе концерта: творческие номера от студентов и артистов Северного Кавказа, блоки награждения активных студентов и сотрудников за реализацию молодежной политики в различных сферах.</t>
  </si>
  <si>
    <t>В центре культуры имени Х.С. Темирканова прошла встреча со специалистами «Многофункционального молодежно. Сотрудники центра презентовали для студентов молодежные проекты.</t>
  </si>
  <si>
    <t>Приветственная встреча сборной КБГУ по футболу</t>
  </si>
  <si>
    <t>Студенты и сотрудники университета во главе с проректором Бесланом Назрановым поприветствовали футболистов, вернувшихся после удачной серии игр Национальной студенческой футбольной лиги в Казани.</t>
  </si>
  <si>
    <t>Посвящение в первокурсники института химии и биологии</t>
  </si>
  <si>
    <t>В творческой мастерской им. А.Н. Сокурова состоялось торжественное посвящение в первокурсники института химии и биологии КБГУ.</t>
  </si>
  <si>
    <t>Студенческий совет ИХиБ КБГУ</t>
  </si>
  <si>
    <t>25.02.2024-29.02.2024</t>
  </si>
  <si>
    <t>В кинокнцертном зале им. Х.М. Бербекова состоялось посвящение в первокурсники института архитектуры, строительства и дизайна КБГУ.</t>
  </si>
  <si>
    <t>Студенческий совет ИАСиД КБГУ</t>
  </si>
  <si>
    <t xml:space="preserve">Посвящение в первокурсники ИАСиД </t>
  </si>
  <si>
    <t>Ознакомительная встреча с представителями "Молодежки Общероссийского народного фронта в КБР"</t>
  </si>
  <si>
    <t>В центре культуры им. Х.С.Темирканова прошла ознакомительная встреча с представителями "Молодежки Общероссийского народного фронта в КБР".
Студенты узнали о деятельности Общероссийского народного фронта, проектах и акциях «Молодежки ОНФ», к которым они могут присоединиться.</t>
  </si>
  <si>
    <t>Для школьников Майского района в КБГУ работники управления по молодежной политике и воспитательной работе провели форум-экскурсию «Где родился, там и пригодился» .
Форум включал в себя экскурсии по университетскому кампус, где школьники ознакомились с учебными подразделениями и инфраструктурой вуза, центрам культуры, а также просмотрели видеороликов о вузе в киноконцертном зале имени А.Н. Сокурова.
Это событие направлено на популяризацию высшего образования среди молодежи и предоставление информации о возможностях, которые открываются перед выпускниками.</t>
  </si>
  <si>
    <t>Форум-экскурсия «Где родился, там и пригодился» для школьников Майского района</t>
  </si>
  <si>
    <t>В честь Дня воссоединения исторических территорий с Российской Федерацией студенты КБГУ вместе с проектом Знание.Кино Российского общества «Знание» посмотрели документальный фильм «Военкоры».
Благодаря фильму ребята узнали, через что проходят корреспонденты, которые показывают всем правду о творившемся на Донбассе. Военные корреспонденты не берут в руки оружие, не участвуют в боевых столкновениях, но их работа связана с не меньшим риском, чем у военных. От героев фильма, среди которых - военный корреспондент RT Мурад Газдиев, ребята узнали, какими качествами нужно обладать, работая на передовой, насколько важны вопросы безопасности, и почему военным журналистом может стать далеко не каждый.</t>
  </si>
  <si>
    <t>Показ документального фильма «Военкоры» от общества "Знание"</t>
  </si>
  <si>
    <t>Посвящение в первокурсники педагогического колледжа</t>
  </si>
  <si>
    <t>Педагогический колледж КБГУ</t>
  </si>
  <si>
    <t>В творческой мастерской А.Н. Сокурова прошло посвящение в первокурсники Педагогического колледжа КБГУ.</t>
  </si>
  <si>
    <t>В КБГУ прошла ежегодная осенняя игра "ЧГК"  среди сотрудников вуза. Сильнейшие команды всех структурных подразделений, бесчисленное количество сложных вопросов, нескончаемая интрига и море приятных эмоций – именно так можно кратко описать атмосферу интеллектуальной игры "ЧГК".</t>
  </si>
  <si>
    <t>Осенний этап интеллектуальной игры "ЧГК" для сотрудников вуза</t>
  </si>
  <si>
    <t>«Большой предпринимательский турнир»
в рамках реализации федеральной программы «Я в деле»</t>
  </si>
  <si>
    <t>УМПиВР КБГУ, "Я в деле"</t>
  </si>
  <si>
    <t>В КБГУ прошёл «Большой предпринимательский турнир»
в рамках реализации федеральной программы при поддержке Министерства высшего образования «Я в деле».</t>
  </si>
  <si>
    <t>Встреча студенческого совета ИИЭиР с первокурсниками структурного подразделения</t>
  </si>
  <si>
    <t>В КБГУ состоялась интеллектуально-развлекательная игра для первокурсников.</t>
  </si>
  <si>
    <t>Встреча студенческого совета ИСЧиЛХ с первокурсниками струткурного подразделения</t>
  </si>
  <si>
    <t>Встреча студенческого совета СГИ с первокурсниками стурктурного подразделения</t>
  </si>
  <si>
    <t>Собрание студенческого актива СГИ</t>
  </si>
  <si>
    <t>Встреча студенческого совета ИФиМ с первокурсниками структурного подразделения</t>
  </si>
  <si>
    <t>16.09.2024-19.09.2024</t>
  </si>
  <si>
    <t>Презентационные встречи молодежных организаций вуза</t>
  </si>
  <si>
    <t>Проведены традиционные встречи - знакомства студентов первокурсников с внеучебной жизнью вуза и молодежными организациями. Представлены основные проекты, возможности для творческого развития и не только. В течение нескольких дней сотрудники встретились с первокурсниками всех структурных подразделений вуза.</t>
  </si>
  <si>
    <t>Проведен зимний сезон интеллектуальной игры «ЧГК». Победу одержала команда библиотеки КБГУ «Хранители знаний», призёрами игры стали команды СГИ и студентов – «Социум» и «Зловещая шестерка».</t>
  </si>
  <si>
    <t>Торжественный митинг, посвящённый 45-летию ввода ограниченного контингента советских войск в Афганистан</t>
  </si>
  <si>
    <t>В Ореховой роще в Нальчике собрались ветераны боевых действий, родные погибших воинов-интернационалистов, представители органов власти и общественных организаций.
Депутат Парламента КБР, руководитель центра гражданского патриотического воспитания молодёжи Кабардино-Балкарского госуниверситета им. Х. М. Бербекова, участник СВО Герман Шевчук сегодня выступил на торжественном митинге, посвящённом 45-летию ввода ограниченного контингента советских войск в Афганистан.
Студенты КБГУ также приняли участие в митинге.</t>
  </si>
  <si>
    <t>В Кабардино-Балкарском госуниверситете им. Х.М. Бербекова прошла новогодняя ёлка для детей сотрудников вуза.
Спектакль «Скрип и мастер елочных игрушек», подготовленный актерами студенческого театра КБГУ «Занавес», каждый раз проходил при полном аншлаге и вызывал бурю эмоций в зале.
За два дня представление в Темиркановском зале в общей сложности посетили более тысячи детей и их родителей.
Все малыши получили сладкие подарки от профсоюзной организации вуза.
Стоит отметить, что в этом году в новогодних праздничных мероприятиях приняли участие и иностранные студенты КБГУ.</t>
  </si>
  <si>
    <t>Студенческий театр КБГУ «Занавес», УМПиВР КБГУ</t>
  </si>
  <si>
    <t>21.12.2024-22.12.2024</t>
  </si>
  <si>
    <t>20 декабря 2024 педагогический колледж Кабардино-Балкарского государственного университета им. Х.М. Бербекова отметил вековой юбилей.
В киноконцертном зале им. А.Н. Сокурова собрались депутаты Парламента Кабардино-Балкарии, представители Минпросвещения республики, деятели культуры, науки и спорта. Почетными гостями вечера стали ветераны педколледжа и коллеги из колледжей регионов Северного Кавказа.
Вечер украсили выступления звёзд местной эстрады. Вокальные номера звучали в исполнении заслуженного артиста РФ Черима Нахушева, народного артиста КБР Амура Текуева и Амины Даовой. Поздравить педагогический колледж с вековым юбилеем пришли именитые государственные танцевальные коллективы: ансамбли «Кабардинка», «Балкария» и «Терские казаки».
Завершился праздничный концерт музыкальной композицией, знакомой каждому студенту и педагогу в КБГУ, — песней «Университетский вальс». Ее текст написан народным поэтом Кабардино-Балкарской АССР Алимом Кешоковым. Прозвучала она в исполнении Жаннеты Ульбашевой  при поддержке ансамбля «Калисто».</t>
  </si>
  <si>
    <t>Встреча студентов ИППиФСО с руководителем центра гражданско-патриотического воспитания молодежи КБГУ</t>
  </si>
  <si>
    <t>ИППиФСО, центр гражданско-патриотического воспитаения молодежи КБГУ</t>
  </si>
  <si>
    <t>Студенты института педагогики, психологии и физкультурно-спортивного образования Кабардино-Балкарского государственного университета им. Х.М. Бербекова встретились с руководителем центра гражданско-патриотического воспитания молодежи КБГУ Германом Шевчуком.
Участник специальной военной операции рассказал о своем жизненном пути, боевом опыте и военных буднях в зоне проведения СВО.</t>
  </si>
  <si>
    <t>г. Москва</t>
  </si>
  <si>
    <t>Участие в торжественном мероприятии, посвященном Году семьи в России</t>
  </si>
  <si>
    <t>Первичное отделение "Движение первых" КБГУ</t>
  </si>
  <si>
    <t>В соответствии с Указом Президента Российской Федерации «О проведении в Российской Федерации Года семьи» 26 декабря 2024 года на площадке Национального центра «Россия» проходит торжественное мероприятие, посвященное Году семьи в России. Партнером выступает Общероссийское общественно-государственное движение детей и молодежи «Движение первых»
Представители первичного отделения Движения первых КБГУ - Бозиев Алим, Абулькин Тамирлан, Кишев Амиран и Кушхов Даниял посетили федеральном офисе, где в рамках мероприятия проводилась образовательная программа и итоговая стратегическая сессия с представителями всех округов Российской Федерации, а также встреча с председателем правления Движения Первых - Орловым Артуром Валерьевичем</t>
  </si>
  <si>
    <t>Отчетно-выборная конференция Профсоюзной организации студентов и аспирантов КБГУ им. Х.М. Бербекова</t>
  </si>
  <si>
    <t>В вузе состоялась отчетно-выборная конференция, в рамках работы которой делегатам был представлен отчёт о проделанной работе за пять лет, избраны новый состав профсоюзного комитета организации и председатель Первичной профсоюзной организации студентов и аспирантов КБГУ. По итогам мероприятия председателем первичной профсоюзной организации обучающихся на новый срок выбран Бозиев И.Н.</t>
  </si>
  <si>
    <t>Волонтерская школа 2024</t>
  </si>
  <si>
    <t>Федеральный проект "Студ.путевка" (1 смена)</t>
  </si>
  <si>
    <t>11.11.2024-17.11.2024</t>
  </si>
  <si>
    <t>На базе эльбрусского учебно-научного комплекса прошла вторая смена федерального проекта "Студпутевка". Участниками смены стали студенты Донецкой народной республики. В их числе 50 ребят из Донецкого национального университета экономики и торговли имени Михаила Туган-Барановского и 50 человек из Донецкой академии управления и государственной службы. 
Программа мероприятия включала интерактивное знакомство с  КБР, командообразующие мероприятия, презентация деятельности студенческого самуправления КБГУ, включающая в себя площадку по обмену опытом, интеллектуальные игры, экскурсии по достопремичательностям национального парка «Приэльбрусье», а также мероприятия кульутрно-творческой направленности.</t>
  </si>
  <si>
    <t>Заседание первичного отделения Общероссийского общественно-государственного движения детей и молодежи «Движение первых»</t>
  </si>
  <si>
    <t>В КБГУ прошло заседание первичного отделения Общероссийского общественно-государственного движения детей и молодежи «Движение первых», на котором председателем вузовского отделения был избран Алим Бозиев, студент 4 курса ИПЭиФ.</t>
  </si>
  <si>
    <t xml:space="preserve">10.10.2024-
19.10.2024
</t>
  </si>
  <si>
    <t>КБР, Приэльбрусье, п. Эльбрус, ЭУНК КБГУ</t>
  </si>
  <si>
    <t>Дополнительная общеобразовательная общеразвивающая программа «Образовательно-туристская программа «Университетские смены - Эльбрус» (8 СМЕНА)</t>
  </si>
  <si>
    <t xml:space="preserve">На базе Эльбрусского учебно-научного комплекса КБГУ им. Х.М.Бербекова завершился восьмой сезон проекта «Университетских смен», в программу которого университет включен с 2022 года. 
За эти девять дней школьники не только получили новые знания, но и смогли найти друзей, открыть для себя культуру и историю нашего региона. Я надеюсь, что каждый из ребят  унесет с собой не только впечатления, но и стремление к новым достижениям.
В этом году вуз провел смены в новом формате с участием школьников-активистов из разных уголков России. Это создало уникальную атмосферу обмена опытом и идеями. Именно такие эксперименты способствуют сплочению молодежи, возможности развиваться и стремиться к новым высотам».
В заключительной 8-ой смене ребята посетили разные образовательные лекции, в том числе по истории и культуре региона; приняли участие в квестах, мастер-классах, спортивных мероприятиях, а также поучаствовали в двух походах и подъёме на Эльбрус. </t>
  </si>
  <si>
    <t>Туристический клуб КБГУ "Papaha travel"</t>
  </si>
  <si>
    <t xml:space="preserve">Экскурсионный выезд в Хуламо-Безенгийское ущелье </t>
  </si>
  <si>
    <t>Экскурсионный выезд в Куртатинское ущелье</t>
  </si>
  <si>
    <t>КБР, Хуламо-Безенгийское ущелье</t>
  </si>
  <si>
    <t>Организован экскурсионный выезд  в Чегемское ущелье, участники прошли пешие маршруты к водопадам, учились верховой езде, знакомились с национальной кухней.</t>
  </si>
  <si>
    <t>Организован экскурсионный выезд  в Куртатинское ущелье Северной Осетии. Участники узнали больше о культуре и истории народов Осетиии, познамились с новыми туристическими маршрутами.</t>
  </si>
  <si>
    <t>Организован экскурсионный выезд в Хуламо-Безенгийское ущелье, участники выезда познамились с новыми туристическими маршрутами.</t>
  </si>
  <si>
    <t>Экскурсионно-ознакомительный выезд в урочище Уштулу</t>
  </si>
  <si>
    <t>КБР, Черекское ущелье, урочище Уштулу</t>
  </si>
  <si>
    <t>Студенты КБГУ отправилась  на экскурсионно-ознакомительную поездку в Уштулу. Урочище представляет собой широкую долину в кайме гор с красивыми панорама и невероятно чистым воздухом.
Ребята совершили два пеших похода, оживлённо провели вечер настольных игр и отлично отдохнули.</t>
  </si>
  <si>
    <t>Встреча студенческого совета Медицинской академии с первокурсниками структурного подразделения</t>
  </si>
  <si>
    <t>Конкурс "Волонтер года - 2024"</t>
  </si>
  <si>
    <t>Новогоднее мероприятие театра КБГУ "Занавес" "Скрип и мастер елочных игрушек"</t>
  </si>
  <si>
    <t>26.10.2024-27.10.2024</t>
  </si>
  <si>
    <t>02.11.2024-03.11.2024</t>
  </si>
  <si>
    <t>Физическое, туристическое</t>
  </si>
  <si>
    <t>Встреча по оперативно-профилактической акции «Нет ненависти и вражде»</t>
  </si>
  <si>
    <t>Мероприятие "Новогодний студенческий бал"</t>
  </si>
  <si>
    <t>КБР, г. Нальчик, КБГУ, ул. Ногмова, 89вл1, "Грот"</t>
  </si>
  <si>
    <t>Центр общеобразовательных программ КБГУ</t>
  </si>
  <si>
    <t>Мероприятие «Новогодний студенческий бал» является ежегодным традиционным событием, к которому все желающие готовятся к парным танцам и встрече Нового года в атмосфере веселья и дружбы. 
На мероприятии проходят танцы, фуршет, конкурсы с призами, а также выборы короля и королевы бала. Мероприятие открыто для посещения всеми, кто соблюдает дресс-код бала.</t>
  </si>
  <si>
    <t>Мастер класс по танцам из культовых фильмов</t>
  </si>
  <si>
    <t>Вечер кино презентаций Печа-куча"</t>
  </si>
  <si>
    <t>Разговорная встречап о кино "Синемакроссинг"</t>
  </si>
  <si>
    <t>Литературный вечер</t>
  </si>
  <si>
    <t>Офлайн конкурс на лучшее стихотворение</t>
  </si>
  <si>
    <t>Вечер презентаций Мировая мифология</t>
  </si>
  <si>
    <t>Творческий конкурс "Почему Интерклуб"</t>
  </si>
  <si>
    <t>Швейный мастер класс "Fashion"</t>
  </si>
  <si>
    <t>Творческий конкурс "Queens of fashion"</t>
  </si>
  <si>
    <t>Творческий конкурс "Тwinter style"</t>
  </si>
  <si>
    <t xml:space="preserve">Экскурсионные выезды </t>
  </si>
  <si>
    <t>Отборочные соревнования для пополнения киберсоставов</t>
  </si>
  <si>
    <t>Турнир кубок ректора</t>
  </si>
  <si>
    <t>Конкурс дмдшник месяца</t>
  </si>
  <si>
    <t>Творческий конкурс "Повтори ракурс"</t>
  </si>
  <si>
    <t>Выставка "В кадре КБГУ"</t>
  </si>
  <si>
    <t>"Флешмбо "Назад в прошлое"</t>
  </si>
  <si>
    <t>Творческий офлайн конкурс "Фото недели"</t>
  </si>
  <si>
    <t>интеллектуально-твочреский конкурс "Арт игра"</t>
  </si>
  <si>
    <t>тренинг по масляной живописи</t>
  </si>
  <si>
    <t>творческий конкурс "время осени"</t>
  </si>
  <si>
    <t>презентации про искусство</t>
  </si>
  <si>
    <t>твочреский конкурс "день клуба"</t>
  </si>
  <si>
    <t>тренинг по карандлашной графике</t>
  </si>
  <si>
    <t>творческий конкурс "время зимы"</t>
  </si>
  <si>
    <t>просмотр с обсуждением анисморт</t>
  </si>
  <si>
    <t>круглый столи ламповый вечер</t>
  </si>
  <si>
    <t>интеллектуальная игра своя игра</t>
  </si>
  <si>
    <t>мастер коасс по танцам</t>
  </si>
  <si>
    <t>кибер турнир по аниме</t>
  </si>
  <si>
    <t>литературное обсуждение ходячий замок</t>
  </si>
  <si>
    <t>ОЛИМПИАДА СЛОНОВА</t>
  </si>
  <si>
    <t>своя игра</t>
  </si>
  <si>
    <t>олимпиада для школьников</t>
  </si>
  <si>
    <t>Слет добровольцев КБР</t>
  </si>
  <si>
    <t>выездная проогрмма в детский дом</t>
  </si>
  <si>
    <t>Туристическое</t>
  </si>
  <si>
    <t>organizations</t>
  </si>
  <si>
    <t>participantsOther</t>
  </si>
  <si>
    <t>location</t>
  </si>
  <si>
    <t>types</t>
  </si>
  <si>
    <t>title</t>
  </si>
  <si>
    <t>level</t>
  </si>
  <si>
    <t>format</t>
  </si>
  <si>
    <t>date</t>
  </si>
  <si>
    <t>id</t>
  </si>
  <si>
    <t>participantsSpo</t>
  </si>
  <si>
    <t>participantsVo</t>
  </si>
  <si>
    <t>participantsForeign</t>
  </si>
  <si>
    <t>participantsTotal</t>
  </si>
  <si>
    <t>organizationRole</t>
  </si>
  <si>
    <t>description</t>
  </si>
  <si>
    <t>Научно-образовательное, предпринимательское</t>
  </si>
  <si>
    <t>Научное, развлекательное</t>
  </si>
  <si>
    <t>Вузовский</t>
  </si>
  <si>
    <t xml:space="preserve">Вузовский </t>
  </si>
  <si>
    <t>Региональный фестиваль "Студенческая весна 2024"</t>
  </si>
  <si>
    <t>06.09.2024-10.09.2024</t>
  </si>
  <si>
    <t>14.05.2024-17.05.2024</t>
  </si>
  <si>
    <t>05.09.2024-09.09.2024</t>
  </si>
  <si>
    <t>07.10.2024-08.10.2024</t>
  </si>
  <si>
    <t>09.10.2024-11.10.2024</t>
  </si>
  <si>
    <t>14.10.2024-15.10.2024</t>
  </si>
  <si>
    <t>16.10.2024-21.10.2024</t>
  </si>
  <si>
    <t>22.10.2024-29.10.2024</t>
  </si>
  <si>
    <t>25.10.2024-27.10.2024</t>
  </si>
  <si>
    <t>Медиацентр КБГУ</t>
  </si>
  <si>
    <t>УМПиВР, ИППиФСО, ПК</t>
  </si>
  <si>
    <t>Центр физического воспитания, развития студенческого спорта и туризма КБГУ, Спортивно-патриотический клуб КБГУ "LIME"</t>
  </si>
  <si>
    <t>Творческий клуб "Art", фотоклую "FOX"</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</si>
</sst>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mm\.yyyy"/>
  </numFmts>
  <fonts count="74" x14ac:knownFonts="1">
    <font>
      <sz val="11"/>
      <color theme="1"/>
      <name val="Calibri"/>
      <family val="2"/>
      <charset val="204"/>
      <scheme val="minor"/>
    </font>
    <font>
      <sz val="11"/>
      <color theme="1"/>
      <name val="Calibri"/>
      <family val="2"/>
      <charset val="204"/>
      <scheme val="minor"/>
    </font>
    <font>
      <sz val="11"/>
      <color theme="1"/>
      <name val="Calibri"/>
      <family val="2"/>
      <scheme val="minor"/>
    </font>
    <font>
      <b/>
      <sz val="9"/>
      <color theme="1"/>
      <name val="Times New Roman"/>
      <family val="1"/>
      <charset val="204"/>
    </font>
    <font>
      <sz val="9"/>
      <color theme="1"/>
      <name val="Times New Roman"/>
      <family val="1"/>
      <charset val="204"/>
    </font>
    <font>
      <u/>
      <sz val="11"/>
      <color theme="10"/>
      <name val="Calibri"/>
      <family val="2"/>
      <scheme val="minor"/>
    </font>
    <font>
      <sz val="8"/>
      <color theme="1"/>
      <name val="Calibri"/>
      <family val="2"/>
      <charset val="204"/>
      <scheme val="minor"/>
    </font>
    <font>
      <sz val="9"/>
      <name val="Times New Roman"/>
      <family val="1"/>
      <charset val="204"/>
    </font>
    <font>
      <u/>
      <sz val="11"/>
      <color theme="10"/>
      <name val="Calibri"/>
      <family val="2"/>
      <charset val="204"/>
    </font>
    <font>
      <sz val="11"/>
      <name val="Calibri"/>
      <family val="2"/>
      <charset val="204"/>
    </font>
    <font>
      <sz val="9"/>
      <color rgb="FF000000"/>
      <name val="Times New Roman"/>
      <family val="1"/>
      <charset val="204"/>
    </font>
    <font>
      <sz val="11"/>
      <color rgb="FF000000"/>
      <name val="Calibri"/>
      <family val="2"/>
      <charset val="204"/>
    </font>
    <font>
      <sz val="11"/>
      <color theme="1"/>
      <name val="Calibri"/>
      <family val="2"/>
      <charset val="204"/>
      <scheme val="minor"/>
    </font>
    <font>
      <sz val="11"/>
      <name val="Calibri"/>
      <family val="2"/>
      <charset val="204"/>
    </font>
    <font>
      <sz val="11"/>
      <color rgb="FF000000"/>
      <name val="Calibri"/>
      <family val="2"/>
      <charset val="204"/>
    </font>
    <font>
      <u/>
      <sz val="11"/>
      <color theme="10"/>
      <name val="Calibri"/>
      <family val="2"/>
      <charset val="204"/>
      <scheme val="minor"/>
    </font>
    <font>
      <sz val="11"/>
      <color theme="1"/>
      <name val="Calibri"/>
      <family val="2"/>
      <charset val="204"/>
      <scheme val="minor"/>
    </font>
    <font>
      <u/>
      <sz val="11"/>
      <color theme="10"/>
      <name val="Calibri"/>
      <family val="2"/>
      <charset val="204"/>
      <scheme val="minor"/>
    </font>
    <font>
      <sz val="11"/>
      <name val="Calibri"/>
      <family val="2"/>
      <charset val="204"/>
    </font>
    <font>
      <sz val="11"/>
      <color rgb="FF000000"/>
      <name val="Calibri"/>
      <family val="2"/>
      <charset val="204"/>
    </font>
    <font>
      <sz val="11"/>
      <color theme="1"/>
      <name val="Calibri"/>
      <family val="2"/>
      <charset val="204"/>
      <scheme val="minor"/>
    </font>
    <font>
      <u/>
      <sz val="11"/>
      <color theme="10"/>
      <name val="Calibri"/>
      <family val="2"/>
      <charset val="204"/>
      <scheme val="minor"/>
    </font>
    <font>
      <sz val="11"/>
      <color indexed="8"/>
      <name val="Calibri"/>
      <family val="2"/>
      <charset val="204"/>
    </font>
    <font>
      <u/>
      <sz val="8.8000000000000007"/>
      <color theme="10"/>
      <name val="Calibri"/>
      <family val="2"/>
      <charset val="204"/>
    </font>
    <font>
      <sz val="11"/>
      <color theme="1"/>
      <name val="Calibri"/>
      <family val="2"/>
      <charset val="204"/>
      <scheme val="minor"/>
    </font>
    <font>
      <sz val="11"/>
      <color theme="1"/>
      <name val="Calibri"/>
      <family val="2"/>
      <charset val="204"/>
      <scheme val="minor"/>
    </font>
    <font>
      <u/>
      <sz val="11"/>
      <color theme="10"/>
      <name val="Calibri"/>
      <family val="2"/>
      <charset val="204"/>
      <scheme val="minor"/>
    </font>
    <font>
      <u/>
      <sz val="11"/>
      <color theme="10"/>
      <name val="Calibri"/>
      <family val="2"/>
      <charset val="204"/>
      <scheme val="minor"/>
    </font>
    <font>
      <sz val="11"/>
      <name val="Calibri"/>
      <family val="2"/>
      <charset val="204"/>
    </font>
    <font>
      <sz val="11"/>
      <color rgb="FF000000"/>
      <name val="Calibri"/>
      <family val="2"/>
      <charset val="204"/>
    </font>
    <font>
      <u/>
      <sz val="11"/>
      <color theme="10"/>
      <name val="Calibri"/>
      <family val="2"/>
      <charset val="204"/>
    </font>
    <font>
      <sz val="11"/>
      <color theme="1"/>
      <name val="Calibri"/>
      <family val="2"/>
      <charset val="204"/>
      <scheme val="minor"/>
    </font>
    <font>
      <u/>
      <sz val="11"/>
      <color theme="10"/>
      <name val="Calibri"/>
      <family val="2"/>
      <charset val="204"/>
      <scheme val="minor"/>
    </font>
    <font>
      <sz val="11"/>
      <color theme="1"/>
      <name val="Calibri"/>
      <family val="2"/>
      <charset val="204"/>
    </font>
    <font>
      <sz val="11"/>
      <color rgb="FF000000"/>
      <name val="Calibri"/>
      <family val="2"/>
      <charset val="204"/>
      <scheme val="minor"/>
    </font>
    <font>
      <sz val="11"/>
      <name val="Calibri"/>
      <family val="2"/>
      <charset val="204"/>
    </font>
    <font>
      <sz val="11"/>
      <color rgb="FF000000"/>
      <name val="Calibri"/>
      <family val="2"/>
      <charset val="204"/>
    </font>
    <font>
      <u/>
      <sz val="11"/>
      <color rgb="FF0000FF"/>
      <name val="Calibri"/>
      <family val="2"/>
      <charset val="204"/>
    </font>
    <font>
      <u/>
      <sz val="11"/>
      <color rgb="FF0000FF"/>
      <name val="Calibri"/>
      <family val="2"/>
      <charset val="204"/>
    </font>
    <font>
      <sz val="9"/>
      <color theme="1"/>
      <name val="Calibri"/>
      <family val="2"/>
      <charset val="204"/>
      <scheme val="minor"/>
    </font>
    <font>
      <sz val="9"/>
      <name val="Calibri"/>
      <family val="2"/>
      <charset val="204"/>
      <scheme val="minor"/>
    </font>
    <font>
      <sz val="11"/>
      <name val="Calibri"/>
      <family val="2"/>
      <charset val="204"/>
    </font>
    <font>
      <sz val="11"/>
      <color rgb="FF000000"/>
      <name val="Calibri"/>
      <family val="2"/>
      <charset val="204"/>
    </font>
    <font>
      <sz val="11"/>
      <color theme="1"/>
      <name val="Calibri"/>
      <family val="2"/>
      <charset val="204"/>
      <scheme val="minor"/>
    </font>
    <font>
      <u/>
      <sz val="11"/>
      <color theme="10"/>
      <name val="Calibri"/>
      <family val="2"/>
      <charset val="204"/>
      <scheme val="minor"/>
    </font>
    <font>
      <sz val="11"/>
      <color theme="1"/>
      <name val="Calibri"/>
      <family val="2"/>
      <charset val="204"/>
      <scheme val="minor"/>
    </font>
    <font>
      <sz val="11"/>
      <color theme="1"/>
      <name val="Calibri"/>
      <family val="2"/>
      <charset val="204"/>
      <scheme val="minor"/>
    </font>
    <font>
      <u/>
      <sz val="11"/>
      <color theme="10"/>
      <name val="Calibri"/>
      <family val="2"/>
      <charset val="204"/>
      <scheme val="minor"/>
    </font>
    <font>
      <u/>
      <sz val="11"/>
      <color theme="10"/>
      <name val="Calibri"/>
      <family val="2"/>
      <charset val="204"/>
      <scheme val="minor"/>
    </font>
    <font>
      <sz val="9"/>
      <color rgb="FFFF0000"/>
      <name val="Times New Roman"/>
      <family val="1"/>
      <charset val="204"/>
    </font>
    <font>
      <sz val="11"/>
      <color indexed="64"/>
      <name val="Calibri"/>
      <family val="2"/>
      <charset val="204"/>
    </font>
    <font>
      <u/>
      <sz val="11"/>
      <color indexed="4"/>
      <name val="Calibri"/>
      <family val="2"/>
      <charset val="204"/>
    </font>
    <font>
      <sz val="11"/>
      <color theme="1"/>
      <name val="Calibri"/>
      <family val="2"/>
      <charset val="204"/>
      <scheme val="minor"/>
    </font>
    <font>
      <sz val="11"/>
      <color theme="1"/>
      <name val="Calibri"/>
      <family val="2"/>
      <charset val="204"/>
      <scheme val="minor"/>
    </font>
    <font>
      <u/>
      <sz val="11"/>
      <color theme="10"/>
      <name val="Calibri"/>
      <family val="2"/>
      <charset val="204"/>
      <scheme val="minor"/>
    </font>
    <font>
      <u/>
      <sz val="11"/>
      <color theme="10"/>
      <name val="Calibri"/>
      <family val="2"/>
      <charset val="204"/>
      <scheme val="minor"/>
    </font>
    <font>
      <sz val="11"/>
      <color theme="1"/>
      <name val="Calibri"/>
      <family val="2"/>
      <charset val="204"/>
      <scheme val="minor"/>
    </font>
    <font>
      <sz val="11"/>
      <color indexed="8"/>
      <name val="Calibri"/>
      <family val="2"/>
      <charset val="204"/>
    </font>
    <font>
      <u/>
      <sz val="11"/>
      <color theme="10"/>
      <name val="Calibri"/>
      <family val="2"/>
      <charset val="204"/>
    </font>
    <font>
      <sz val="9"/>
      <color rgb="FF000000"/>
      <name val="Times New Roman"/>
      <family val="1"/>
    </font>
    <font>
      <b/>
      <sz val="9"/>
      <name val="Times New Roman"/>
      <family val="1"/>
      <charset val="204"/>
    </font>
    <font>
      <sz val="9"/>
      <color theme="9" tint="0.39997558519241921"/>
      <name val="Times New Roman"/>
      <family val="1"/>
      <charset val="204"/>
    </font>
    <font>
      <sz val="11"/>
      <color rgb="FF000000"/>
      <name val="Calibri"/>
      <family val="2"/>
      <charset val="204"/>
      <scheme val="minor"/>
    </font>
    <font>
      <sz val="11"/>
      <name val="Calibri"/>
      <family val="2"/>
      <charset val="204"/>
    </font>
    <font>
      <sz val="11"/>
      <name val="Arial"/>
      <family val="2"/>
      <charset val="204"/>
    </font>
    <font>
      <sz val="9"/>
      <color rgb="FF000000"/>
      <name val="Times New Roman"/>
      <family val="1"/>
      <charset val="204"/>
    </font>
    <font>
      <sz val="9"/>
      <color indexed="64"/>
      <name val="Times New Roman"/>
      <family val="1"/>
      <charset val="204"/>
    </font>
    <font>
      <sz val="10"/>
      <color theme="1"/>
      <name val="Times New Roman"/>
      <family val="1"/>
      <charset val="204"/>
    </font>
    <font>
      <sz val="11"/>
      <color rgb="FF000000"/>
      <name val="Calibri"/>
      <family val="2"/>
      <charset val="204"/>
    </font>
    <font>
      <sz val="11"/>
      <color rgb="FF000000"/>
      <name val="Calibri"/>
      <family val="2"/>
      <charset val="204"/>
      <scheme val="minor"/>
    </font>
    <font>
      <sz val="11"/>
      <name val="Calibri"/>
      <family val="2"/>
      <charset val="204"/>
    </font>
    <font>
      <u/>
      <sz val="11"/>
      <color theme="10"/>
      <name val="Calibri"/>
      <family val="2"/>
      <charset val="204"/>
    </font>
    <font>
      <sz val="9"/>
      <color theme="1"/>
      <name val="Times New Roman"/>
      <family val="1"/>
      <charset val="204"/>
    </font>
    <font>
      <b/>
      <sz val="11"/>
      <color theme="1"/>
      <name val="Calibri"/>
      <family val="2"/>
      <charset val="204"/>
      <scheme val="minor"/>
    </font>
  </fonts>
  <fills count="7">
    <fill>
      <patternFill patternType="none"/>
    </fill>
    <fill>
      <patternFill patternType="gray125"/>
    </fill>
    <fill>
      <patternFill patternType="solid">
        <fgColor rgb="FFC5E0B3"/>
        <bgColor indexed="64"/>
      </patternFill>
    </fill>
    <fill>
      <patternFill patternType="solid">
        <fgColor theme="0"/>
        <bgColor indexed="64"/>
      </patternFill>
    </fill>
    <fill>
      <patternFill patternType="solid">
        <fgColor rgb="FFFFFF00"/>
        <bgColor indexed="64"/>
      </patternFill>
    </fill>
    <fill>
      <patternFill patternType="solid">
        <fgColor theme="2"/>
        <bgColor indexed="64"/>
      </patternFill>
    </fill>
    <fill>
      <patternFill patternType="solid">
        <fgColor theme="2" tint="-9.9978637043366805E-2"/>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indexed="64"/>
      </right>
      <top/>
      <bottom style="thin">
        <color indexed="64"/>
      </bottom>
      <diagonal/>
    </border>
    <border>
      <left/>
      <right style="thin">
        <color rgb="FF000000"/>
      </right>
      <top style="thin">
        <color rgb="FF000000"/>
      </top>
      <bottom/>
      <diagonal/>
    </border>
    <border>
      <left style="thin">
        <color indexed="64"/>
      </left>
      <right/>
      <top/>
      <bottom style="thin">
        <color indexed="64"/>
      </bottom>
      <diagonal/>
    </border>
    <border>
      <left/>
      <right style="thin">
        <color indexed="64"/>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rgb="FF000000"/>
      </left>
      <right style="thin">
        <color rgb="FF000000"/>
      </right>
      <top/>
      <bottom style="medium">
        <color indexed="64"/>
      </bottom>
      <diagonal/>
    </border>
    <border>
      <left style="thin">
        <color indexed="64"/>
      </left>
      <right style="thin">
        <color indexed="64"/>
      </right>
      <top/>
      <bottom style="medium">
        <color indexed="64"/>
      </bottom>
      <diagonal/>
    </border>
    <border>
      <left style="thin">
        <color rgb="FF000000"/>
      </left>
      <right/>
      <top/>
      <bottom style="medium">
        <color indexed="64"/>
      </bottom>
      <diagonal/>
    </border>
    <border>
      <left/>
      <right style="thin">
        <color rgb="FF000000"/>
      </right>
      <top/>
      <bottom style="medium">
        <color indexed="64"/>
      </bottom>
      <diagonal/>
    </border>
    <border>
      <left/>
      <right style="thin">
        <color indexed="64"/>
      </right>
      <top style="medium">
        <color indexed="64"/>
      </top>
      <bottom style="thin">
        <color indexed="64"/>
      </bottom>
      <diagonal/>
    </border>
    <border>
      <left style="thin">
        <color rgb="FF000000"/>
      </left>
      <right style="thin">
        <color rgb="FF000000"/>
      </right>
      <top style="medium">
        <color indexed="64"/>
      </top>
      <bottom/>
      <diagonal/>
    </border>
  </borders>
  <cellStyleXfs count="156">
    <xf numFmtId="0" fontId="0" fillId="0" borderId="0"/>
    <xf numFmtId="0" fontId="2" fillId="0" borderId="0"/>
    <xf numFmtId="0" fontId="5" fillId="0" borderId="0" applyNumberFormat="0" applyFill="0" applyBorder="0" applyAlignment="0" applyProtection="0"/>
    <xf numFmtId="0" fontId="1" fillId="0" borderId="0"/>
    <xf numFmtId="0" fontId="5" fillId="0" borderId="0" applyNumberFormat="0" applyFill="0" applyBorder="0" applyAlignment="0" applyProtection="0"/>
    <xf numFmtId="0" fontId="8" fillId="0" borderId="0" applyNumberFormat="0" applyFill="0" applyBorder="0" applyAlignment="0" applyProtection="0">
      <alignment vertical="top"/>
      <protection locked="0"/>
    </xf>
    <xf numFmtId="0" fontId="9" fillId="0" borderId="0">
      <alignment vertical="center"/>
    </xf>
    <xf numFmtId="0" fontId="11" fillId="0" borderId="0">
      <protection locked="0"/>
    </xf>
    <xf numFmtId="0" fontId="12" fillId="0" borderId="0"/>
    <xf numFmtId="0" fontId="13" fillId="0" borderId="0">
      <alignment vertical="center"/>
    </xf>
    <xf numFmtId="0" fontId="14" fillId="0" borderId="0">
      <protection locked="0"/>
    </xf>
    <xf numFmtId="0" fontId="16" fillId="0" borderId="0"/>
    <xf numFmtId="0" fontId="17" fillId="0" borderId="0" applyNumberFormat="0" applyFill="0" applyBorder="0" applyProtection="0"/>
    <xf numFmtId="0" fontId="16" fillId="0" borderId="0"/>
    <xf numFmtId="0" fontId="16" fillId="0" borderId="0"/>
    <xf numFmtId="0" fontId="15" fillId="0" borderId="0" applyNumberFormat="0" applyFill="0" applyBorder="0" applyProtection="0"/>
    <xf numFmtId="0" fontId="1" fillId="0" borderId="0"/>
    <xf numFmtId="0" fontId="1" fillId="0" borderId="0"/>
    <xf numFmtId="0" fontId="18" fillId="0" borderId="0">
      <alignment vertical="center"/>
    </xf>
    <xf numFmtId="0" fontId="19" fillId="0" borderId="0">
      <protection locked="0"/>
    </xf>
    <xf numFmtId="0" fontId="20" fillId="0" borderId="0"/>
    <xf numFmtId="0" fontId="21" fillId="0" borderId="0" applyNumberFormat="0" applyFill="0" applyBorder="0" applyProtection="0"/>
    <xf numFmtId="0" fontId="20" fillId="0" borderId="0"/>
    <xf numFmtId="0" fontId="20" fillId="0" borderId="0"/>
    <xf numFmtId="0" fontId="22" fillId="0" borderId="0" applyNumberFormat="0" applyFill="0" applyBorder="0" applyProtection="0">
      <alignment vertical="center"/>
    </xf>
    <xf numFmtId="0" fontId="9" fillId="0" borderId="0">
      <alignment vertical="center"/>
    </xf>
    <xf numFmtId="0" fontId="11" fillId="0" borderId="0">
      <protection locked="0"/>
    </xf>
    <xf numFmtId="0" fontId="1" fillId="0" borderId="0"/>
    <xf numFmtId="0" fontId="15" fillId="0" borderId="0" applyNumberFormat="0" applyFill="0" applyBorder="0" applyProtection="0"/>
    <xf numFmtId="0" fontId="1" fillId="0" borderId="0"/>
    <xf numFmtId="0" fontId="1" fillId="0" borderId="0"/>
    <xf numFmtId="0" fontId="23" fillId="0" borderId="0" applyNumberFormat="0" applyFill="0" applyBorder="0" applyAlignment="0" applyProtection="0">
      <alignment vertical="top"/>
      <protection locked="0"/>
    </xf>
    <xf numFmtId="0" fontId="1" fillId="0" borderId="0"/>
    <xf numFmtId="0" fontId="23" fillId="0" borderId="0" applyNumberFormat="0" applyFill="0" applyBorder="0" applyAlignment="0" applyProtection="0">
      <alignment vertical="top"/>
      <protection locked="0"/>
    </xf>
    <xf numFmtId="0" fontId="9" fillId="0" borderId="0">
      <alignment vertical="center"/>
    </xf>
    <xf numFmtId="0" fontId="11" fillId="0" borderId="0">
      <protection locked="0"/>
    </xf>
    <xf numFmtId="0" fontId="1" fillId="0" borderId="0"/>
    <xf numFmtId="0" fontId="15" fillId="0" borderId="0" applyNumberFormat="0" applyFill="0" applyBorder="0" applyProtection="0"/>
    <xf numFmtId="0" fontId="1" fillId="0" borderId="0"/>
    <xf numFmtId="0" fontId="1" fillId="0" borderId="0"/>
    <xf numFmtId="0" fontId="24" fillId="0" borderId="0"/>
    <xf numFmtId="0" fontId="27" fillId="0" borderId="0" applyNumberFormat="0" applyFill="0" applyBorder="0" applyAlignment="0" applyProtection="0"/>
    <xf numFmtId="0" fontId="25" fillId="0" borderId="0"/>
    <xf numFmtId="0" fontId="26" fillId="0" borderId="0" applyNumberFormat="0" applyFill="0" applyBorder="0" applyAlignment="0" applyProtection="0"/>
    <xf numFmtId="0" fontId="24" fillId="0" borderId="0"/>
    <xf numFmtId="0" fontId="28" fillId="0" borderId="0">
      <alignment vertical="center"/>
    </xf>
    <xf numFmtId="0" fontId="29" fillId="0" borderId="0">
      <protection locked="0"/>
    </xf>
    <xf numFmtId="0" fontId="30" fillId="0" borderId="0" applyNumberFormat="0" applyFill="0" applyBorder="0" applyAlignment="0" applyProtection="0">
      <alignment vertical="center"/>
    </xf>
    <xf numFmtId="0" fontId="31" fillId="0" borderId="0"/>
    <xf numFmtId="0" fontId="32" fillId="0" borderId="0" applyNumberFormat="0" applyFill="0" applyBorder="0" applyProtection="0"/>
    <xf numFmtId="0" fontId="31" fillId="0" borderId="0"/>
    <xf numFmtId="0" fontId="31" fillId="0" borderId="0"/>
    <xf numFmtId="0" fontId="30" fillId="0" borderId="0" applyNumberFormat="0" applyFill="0" applyBorder="0" applyAlignment="0" applyProtection="0"/>
    <xf numFmtId="0" fontId="33" fillId="0" borderId="0"/>
    <xf numFmtId="0" fontId="32" fillId="0" borderId="0" applyNumberFormat="0" applyFill="0" applyBorder="0" applyAlignment="0" applyProtection="0"/>
    <xf numFmtId="0" fontId="15" fillId="0" borderId="0" applyNumberFormat="0" applyFill="0" applyBorder="0" applyAlignment="0" applyProtection="0"/>
    <xf numFmtId="0" fontId="34" fillId="0" borderId="0"/>
    <xf numFmtId="0" fontId="35" fillId="0" borderId="0">
      <alignment vertical="center"/>
    </xf>
    <xf numFmtId="0" fontId="36" fillId="0" borderId="0">
      <protection locked="0"/>
    </xf>
    <xf numFmtId="0" fontId="1" fillId="0" borderId="0"/>
    <xf numFmtId="0" fontId="15" fillId="0" borderId="0" applyNumberFormat="0" applyFill="0" applyBorder="0" applyAlignment="0" applyProtection="0"/>
    <xf numFmtId="0" fontId="1" fillId="0" borderId="0"/>
    <xf numFmtId="0" fontId="15" fillId="0" borderId="0" applyNumberFormat="0" applyFill="0" applyBorder="0" applyAlignment="0" applyProtection="0"/>
    <xf numFmtId="0" fontId="1" fillId="0" borderId="0"/>
    <xf numFmtId="0" fontId="9" fillId="0" borderId="0">
      <alignment vertical="center"/>
    </xf>
    <xf numFmtId="0" fontId="11" fillId="0" borderId="0">
      <protection locked="0"/>
    </xf>
    <xf numFmtId="0" fontId="8" fillId="0" borderId="0" applyNumberFormat="0" applyFill="0" applyBorder="0" applyAlignment="0" applyProtection="0">
      <alignment vertical="center"/>
    </xf>
    <xf numFmtId="0" fontId="1" fillId="0" borderId="0"/>
    <xf numFmtId="0" fontId="15" fillId="0" borderId="0" applyNumberFormat="0" applyFill="0" applyBorder="0" applyProtection="0"/>
    <xf numFmtId="0" fontId="1" fillId="0" borderId="0"/>
    <xf numFmtId="0" fontId="1" fillId="0" borderId="0"/>
    <xf numFmtId="0" fontId="8" fillId="0" borderId="0" applyNumberFormat="0" applyFill="0" applyBorder="0" applyAlignment="0" applyProtection="0"/>
    <xf numFmtId="0" fontId="15" fillId="0" borderId="0" applyNumberFormat="0" applyFill="0" applyBorder="0" applyAlignment="0" applyProtection="0"/>
    <xf numFmtId="0" fontId="8" fillId="0" borderId="0" applyNumberFormat="0" applyFill="0" applyBorder="0" applyAlignment="0" applyProtection="0">
      <alignment vertical="center"/>
    </xf>
    <xf numFmtId="0" fontId="9" fillId="0" borderId="0">
      <alignment vertical="center"/>
    </xf>
    <xf numFmtId="0" fontId="11" fillId="0" borderId="0">
      <protection locked="0"/>
    </xf>
    <xf numFmtId="0" fontId="1" fillId="0" borderId="0"/>
    <xf numFmtId="0" fontId="15" fillId="0" borderId="0" applyNumberFormat="0" applyFill="0" applyBorder="0" applyProtection="0"/>
    <xf numFmtId="0" fontId="1" fillId="0" borderId="0"/>
    <xf numFmtId="0" fontId="1" fillId="0" borderId="0"/>
    <xf numFmtId="0" fontId="37" fillId="0" borderId="0">
      <alignment vertical="top"/>
      <protection locked="0"/>
    </xf>
    <xf numFmtId="0" fontId="38" fillId="0" borderId="0">
      <alignment vertical="top"/>
      <protection locked="0"/>
    </xf>
    <xf numFmtId="0" fontId="15" fillId="0" borderId="0" applyNumberFormat="0" applyFill="0" applyBorder="0" applyAlignment="0" applyProtection="0"/>
    <xf numFmtId="0" fontId="42" fillId="0" borderId="0">
      <protection locked="0"/>
    </xf>
    <xf numFmtId="0" fontId="41" fillId="0" borderId="0">
      <alignment vertical="center"/>
    </xf>
    <xf numFmtId="0" fontId="41" fillId="0" borderId="0">
      <alignment vertical="center"/>
    </xf>
    <xf numFmtId="0" fontId="42" fillId="0" borderId="0">
      <protection locked="0"/>
    </xf>
    <xf numFmtId="0" fontId="43" fillId="0" borderId="0"/>
    <xf numFmtId="0" fontId="44" fillId="0" borderId="0" applyNumberFormat="0" applyFill="0" applyBorder="0" applyProtection="0"/>
    <xf numFmtId="0" fontId="43" fillId="0" borderId="0"/>
    <xf numFmtId="0" fontId="43" fillId="0" borderId="0"/>
    <xf numFmtId="0" fontId="45" fillId="0" borderId="0"/>
    <xf numFmtId="0" fontId="48" fillId="0" borderId="0" applyNumberFormat="0" applyFill="0" applyBorder="0" applyAlignment="0" applyProtection="0"/>
    <xf numFmtId="0" fontId="46" fillId="0" borderId="0"/>
    <xf numFmtId="0" fontId="47" fillId="0" borderId="0" applyNumberFormat="0" applyFill="0" applyBorder="0" applyAlignment="0" applyProtection="0"/>
    <xf numFmtId="0" fontId="45" fillId="0" borderId="0"/>
    <xf numFmtId="0" fontId="33" fillId="0" borderId="0">
      <alignment vertical="center"/>
    </xf>
    <xf numFmtId="0" fontId="50" fillId="0" borderId="0">
      <protection locked="0"/>
    </xf>
    <xf numFmtId="0" fontId="51" fillId="0" borderId="0">
      <alignment vertical="top"/>
      <protection locked="0"/>
    </xf>
    <xf numFmtId="0" fontId="2" fillId="0" borderId="0"/>
    <xf numFmtId="0" fontId="5" fillId="0" borderId="0" applyNumberFormat="0" applyFill="0" applyBorder="0" applyAlignment="0" applyProtection="0"/>
    <xf numFmtId="0" fontId="8" fillId="0" borderId="0" applyNumberFormat="0" applyFill="0" applyBorder="0">
      <protection locked="0"/>
    </xf>
    <xf numFmtId="0" fontId="5" fillId="0" borderId="0" applyNumberFormat="0" applyFill="0" applyBorder="0" applyProtection="0"/>
    <xf numFmtId="0" fontId="52" fillId="0" borderId="0"/>
    <xf numFmtId="0" fontId="55" fillId="0" borderId="0" applyNumberFormat="0" applyFill="0" applyBorder="0" applyAlignment="0" applyProtection="0"/>
    <xf numFmtId="0" fontId="53" fillId="0" borderId="0"/>
    <xf numFmtId="0" fontId="54" fillId="0" borderId="0" applyNumberFormat="0" applyFill="0" applyBorder="0" applyAlignment="0" applyProtection="0"/>
    <xf numFmtId="0" fontId="52" fillId="0" borderId="0"/>
    <xf numFmtId="0" fontId="56" fillId="0" borderId="0"/>
    <xf numFmtId="0" fontId="57" fillId="0" borderId="0" applyNumberFormat="0" applyFill="0" applyBorder="0" applyProtection="0">
      <alignment vertical="center"/>
    </xf>
    <xf numFmtId="0" fontId="58" fillId="0" borderId="0" applyNumberFormat="0" applyFill="0" applyBorder="0" applyAlignment="0" applyProtection="0">
      <alignment vertical="top"/>
      <protection locked="0"/>
    </xf>
    <xf numFmtId="0" fontId="37" fillId="0" borderId="0">
      <protection locked="0"/>
    </xf>
    <xf numFmtId="0" fontId="11" fillId="0" borderId="0">
      <alignment vertical="center"/>
    </xf>
    <xf numFmtId="0" fontId="51" fillId="0" borderId="0">
      <protection locked="0"/>
    </xf>
    <xf numFmtId="0" fontId="62" fillId="0" borderId="0"/>
    <xf numFmtId="0" fontId="56" fillId="0" borderId="0"/>
    <xf numFmtId="0" fontId="63" fillId="0" borderId="0">
      <alignment vertical="center"/>
    </xf>
    <xf numFmtId="0" fontId="58" fillId="0" borderId="0" applyNumberFormat="0" applyFill="0" applyBorder="0" applyAlignment="0" applyProtection="0">
      <alignment vertical="center"/>
    </xf>
    <xf numFmtId="0" fontId="64" fillId="0" borderId="0">
      <alignment vertical="center"/>
    </xf>
    <xf numFmtId="0" fontId="8" fillId="0" borderId="0" applyNumberFormat="0" applyFill="0" applyBorder="0" applyAlignment="0" applyProtection="0">
      <alignment vertical="center"/>
    </xf>
    <xf numFmtId="0" fontId="68" fillId="0" borderId="0">
      <alignment vertical="center"/>
    </xf>
    <xf numFmtId="0" fontId="69" fillId="0" borderId="0"/>
    <xf numFmtId="0" fontId="70" fillId="0" borderId="0">
      <alignment vertical="center"/>
    </xf>
    <xf numFmtId="0" fontId="71" fillId="0" borderId="0" applyNumberFormat="0" applyFill="0" applyBorder="0" applyAlignment="0" applyProtection="0">
      <alignment vertical="center"/>
    </xf>
    <xf numFmtId="0" fontId="9" fillId="0" borderId="0">
      <alignment vertical="center"/>
    </xf>
    <xf numFmtId="0" fontId="11" fillId="0" borderId="0">
      <protection locked="0"/>
    </xf>
    <xf numFmtId="0" fontId="37" fillId="0" borderId="0">
      <alignment vertical="top"/>
      <protection locked="0"/>
    </xf>
    <xf numFmtId="0" fontId="11" fillId="0" borderId="0">
      <protection locked="0"/>
    </xf>
    <xf numFmtId="0" fontId="9" fillId="0" borderId="0">
      <alignment vertical="center"/>
    </xf>
    <xf numFmtId="0" fontId="9" fillId="0" borderId="0">
      <alignment vertical="center"/>
    </xf>
    <xf numFmtId="0" fontId="11" fillId="0" borderId="0">
      <protection locked="0"/>
    </xf>
    <xf numFmtId="0" fontId="1" fillId="0" borderId="0"/>
    <xf numFmtId="0" fontId="15" fillId="0" borderId="0" applyNumberFormat="0" applyFill="0" applyBorder="0" applyProtection="0"/>
    <xf numFmtId="0" fontId="1" fillId="0" borderId="0"/>
    <xf numFmtId="0" fontId="1" fillId="0" borderId="0"/>
    <xf numFmtId="0" fontId="1" fillId="0" borderId="0"/>
    <xf numFmtId="0" fontId="15" fillId="0" borderId="0" applyNumberFormat="0" applyFill="0" applyBorder="0" applyAlignment="0" applyProtection="0"/>
    <xf numFmtId="0" fontId="1" fillId="0" borderId="0"/>
    <xf numFmtId="0" fontId="15" fillId="0" borderId="0" applyNumberFormat="0" applyFill="0" applyBorder="0" applyAlignment="0" applyProtection="0"/>
    <xf numFmtId="0" fontId="1" fillId="0" borderId="0"/>
    <xf numFmtId="0" fontId="1" fillId="0" borderId="0"/>
    <xf numFmtId="0" fontId="15" fillId="0" borderId="0" applyNumberFormat="0" applyFill="0" applyBorder="0" applyAlignment="0" applyProtection="0"/>
    <xf numFmtId="0" fontId="1" fillId="0" borderId="0"/>
    <xf numFmtId="0" fontId="15" fillId="0" borderId="0" applyNumberFormat="0" applyFill="0" applyBorder="0" applyAlignment="0" applyProtection="0"/>
    <xf numFmtId="0" fontId="1" fillId="0" borderId="0"/>
    <xf numFmtId="0" fontId="1" fillId="0" borderId="0"/>
    <xf numFmtId="0" fontId="22" fillId="0" borderId="0" applyNumberFormat="0" applyFill="0" applyBorder="0" applyProtection="0">
      <alignment vertical="center"/>
    </xf>
    <xf numFmtId="0" fontId="8" fillId="0" borderId="0" applyNumberFormat="0" applyFill="0" applyBorder="0" applyAlignment="0" applyProtection="0">
      <alignment vertical="top"/>
      <protection locked="0"/>
    </xf>
    <xf numFmtId="0" fontId="34" fillId="0" borderId="0"/>
    <xf numFmtId="0" fontId="1" fillId="0" borderId="0"/>
    <xf numFmtId="0" fontId="9" fillId="0" borderId="0">
      <alignment vertical="center"/>
    </xf>
    <xf numFmtId="0" fontId="8" fillId="0" borderId="0" applyNumberFormat="0" applyFill="0" applyBorder="0" applyAlignment="0" applyProtection="0">
      <alignment vertical="center"/>
    </xf>
    <xf numFmtId="0" fontId="11" fillId="0" borderId="0">
      <alignment vertical="center"/>
    </xf>
    <xf numFmtId="0" fontId="34" fillId="0" borderId="0"/>
    <xf numFmtId="0" fontId="9" fillId="0" borderId="0">
      <alignment vertical="center"/>
    </xf>
    <xf numFmtId="0" fontId="8" fillId="0" borderId="0" applyNumberFormat="0" applyFill="0" applyBorder="0" applyAlignment="0" applyProtection="0">
      <alignment vertical="center"/>
    </xf>
  </cellStyleXfs>
  <cellXfs count="349">
    <xf numFmtId="0" fontId="0" fillId="0" borderId="0" xfId="0"/>
    <xf numFmtId="0" fontId="0" fillId="0" borderId="1" xfId="0" applyBorder="1"/>
    <xf numFmtId="0" fontId="4" fillId="0" borderId="1" xfId="0" applyFont="1" applyBorder="1" applyAlignment="1">
      <alignment horizontal="justify" vertical="top" wrapText="1"/>
    </xf>
    <xf numFmtId="0" fontId="6" fillId="0" borderId="0" xfId="0" applyFont="1"/>
    <xf numFmtId="14" fontId="4" fillId="0" borderId="2" xfId="0" applyNumberFormat="1" applyFont="1" applyBorder="1" applyAlignment="1">
      <alignment horizontal="justify" vertical="top" wrapText="1"/>
    </xf>
    <xf numFmtId="0" fontId="3" fillId="2" borderId="1" xfId="1" applyFont="1" applyFill="1" applyBorder="1" applyAlignment="1">
      <alignment horizontal="justify" vertical="center" wrapText="1"/>
    </xf>
    <xf numFmtId="0" fontId="0" fillId="0" borderId="0" xfId="0" applyBorder="1"/>
    <xf numFmtId="0" fontId="1" fillId="0" borderId="0" xfId="0" applyFont="1"/>
    <xf numFmtId="0" fontId="7" fillId="0" borderId="1" xfId="0" applyFont="1" applyBorder="1" applyAlignment="1">
      <alignment horizontal="left" vertical="top" wrapText="1"/>
    </xf>
    <xf numFmtId="14" fontId="4" fillId="0" borderId="1" xfId="0" applyNumberFormat="1" applyFont="1" applyBorder="1" applyAlignment="1">
      <alignment horizontal="justify" vertical="top" wrapText="1"/>
    </xf>
    <xf numFmtId="0" fontId="4" fillId="0" borderId="1" xfId="0" applyFont="1" applyBorder="1" applyAlignment="1">
      <alignment vertical="top"/>
    </xf>
    <xf numFmtId="0" fontId="7" fillId="0" borderId="1" xfId="0" applyFont="1" applyBorder="1" applyAlignment="1">
      <alignment horizontal="justify" vertical="top" wrapText="1"/>
    </xf>
    <xf numFmtId="0" fontId="4" fillId="0" borderId="5" xfId="0" applyFont="1" applyBorder="1" applyAlignment="1">
      <alignment horizontal="justify" vertical="top" wrapText="1"/>
    </xf>
    <xf numFmtId="0" fontId="7" fillId="3" borderId="3" xfId="0" applyFont="1" applyFill="1" applyBorder="1" applyAlignment="1">
      <alignment horizontal="justify" vertical="top" wrapText="1"/>
    </xf>
    <xf numFmtId="14" fontId="4" fillId="3" borderId="2" xfId="0" applyNumberFormat="1" applyFont="1" applyFill="1" applyBorder="1" applyAlignment="1">
      <alignment horizontal="justify" vertical="top" wrapText="1"/>
    </xf>
    <xf numFmtId="0" fontId="4" fillId="3" borderId="1" xfId="0" applyFont="1" applyFill="1" applyBorder="1" applyAlignment="1">
      <alignment horizontal="justify" vertical="top" wrapText="1"/>
    </xf>
    <xf numFmtId="0" fontId="4" fillId="0" borderId="0" xfId="0" applyFont="1" applyAlignment="1">
      <alignment horizontal="justify"/>
    </xf>
    <xf numFmtId="0" fontId="4" fillId="3" borderId="3" xfId="0" applyFont="1" applyFill="1" applyBorder="1" applyAlignment="1">
      <alignment horizontal="justify" vertical="top"/>
    </xf>
    <xf numFmtId="0" fontId="4" fillId="3" borderId="1" xfId="0" applyFont="1" applyFill="1" applyBorder="1" applyAlignment="1">
      <alignment horizontal="justify" vertical="top"/>
    </xf>
    <xf numFmtId="0" fontId="4" fillId="0" borderId="1" xfId="0" applyFont="1" applyBorder="1" applyAlignment="1">
      <alignment horizontal="justify" vertical="top" wrapText="1"/>
    </xf>
    <xf numFmtId="0" fontId="0" fillId="0" borderId="0" xfId="0"/>
    <xf numFmtId="0" fontId="0" fillId="0" borderId="1" xfId="0" applyBorder="1"/>
    <xf numFmtId="0" fontId="4" fillId="0" borderId="1" xfId="0" applyFont="1" applyBorder="1" applyAlignment="1">
      <alignment horizontal="justify" vertical="top" wrapText="1"/>
    </xf>
    <xf numFmtId="14" fontId="4" fillId="0" borderId="2" xfId="0" applyNumberFormat="1" applyFont="1" applyBorder="1" applyAlignment="1">
      <alignment horizontal="justify" vertical="top" wrapText="1"/>
    </xf>
    <xf numFmtId="0" fontId="4" fillId="0" borderId="1" xfId="0" applyFont="1" applyBorder="1" applyAlignment="1">
      <alignment horizontal="justify" vertical="top" wrapText="1"/>
    </xf>
    <xf numFmtId="0" fontId="4" fillId="3" borderId="1" xfId="0" applyFont="1" applyFill="1" applyBorder="1" applyAlignment="1">
      <alignment horizontal="justify" vertical="top" wrapText="1"/>
    </xf>
    <xf numFmtId="0" fontId="0" fillId="0" borderId="0" xfId="0"/>
    <xf numFmtId="0" fontId="0" fillId="0" borderId="1" xfId="0" applyBorder="1"/>
    <xf numFmtId="0" fontId="4" fillId="0" borderId="1" xfId="0" applyFont="1" applyBorder="1" applyAlignment="1">
      <alignment horizontal="justify" vertical="top" wrapText="1"/>
    </xf>
    <xf numFmtId="14" fontId="4" fillId="0" borderId="2" xfId="0" applyNumberFormat="1" applyFont="1" applyBorder="1" applyAlignment="1">
      <alignment horizontal="justify" vertical="top" wrapText="1"/>
    </xf>
    <xf numFmtId="0" fontId="0" fillId="0" borderId="0" xfId="0"/>
    <xf numFmtId="0" fontId="0" fillId="0" borderId="1" xfId="0" applyBorder="1"/>
    <xf numFmtId="0" fontId="4" fillId="0" borderId="1" xfId="0" applyFont="1" applyBorder="1" applyAlignment="1">
      <alignment horizontal="justify" vertical="top" wrapText="1"/>
    </xf>
    <xf numFmtId="0" fontId="6" fillId="0" borderId="0" xfId="0" applyFont="1"/>
    <xf numFmtId="14" fontId="4" fillId="0" borderId="2" xfId="0" applyNumberFormat="1" applyFont="1" applyBorder="1" applyAlignment="1">
      <alignment horizontal="justify" vertical="top" wrapText="1"/>
    </xf>
    <xf numFmtId="0" fontId="4" fillId="0" borderId="1" xfId="0" applyFont="1" applyBorder="1" applyAlignment="1">
      <alignment horizontal="justify" vertical="top" wrapText="1"/>
    </xf>
    <xf numFmtId="0" fontId="0" fillId="0" borderId="0" xfId="0"/>
    <xf numFmtId="0" fontId="0" fillId="0" borderId="1" xfId="0" applyBorder="1"/>
    <xf numFmtId="0" fontId="4" fillId="0" borderId="1" xfId="0" applyFont="1" applyBorder="1" applyAlignment="1">
      <alignment horizontal="justify" vertical="top" wrapText="1"/>
    </xf>
    <xf numFmtId="14" fontId="4" fillId="0" borderId="2" xfId="0" applyNumberFormat="1" applyFont="1" applyBorder="1" applyAlignment="1">
      <alignment horizontal="justify" vertical="top" wrapText="1"/>
    </xf>
    <xf numFmtId="0" fontId="4" fillId="0" borderId="4" xfId="0" applyFont="1" applyFill="1" applyBorder="1" applyAlignment="1">
      <alignment horizontal="justify" vertical="top" wrapText="1"/>
    </xf>
    <xf numFmtId="0" fontId="0" fillId="0" borderId="0" xfId="0"/>
    <xf numFmtId="0" fontId="0" fillId="0" borderId="0" xfId="0"/>
    <xf numFmtId="0" fontId="0" fillId="0" borderId="0" xfId="0"/>
    <xf numFmtId="0" fontId="4" fillId="0" borderId="1" xfId="0" applyFont="1" applyBorder="1" applyAlignment="1">
      <alignment horizontal="justify" vertical="top" wrapText="1"/>
    </xf>
    <xf numFmtId="0" fontId="4" fillId="4" borderId="1" xfId="0" applyFont="1" applyFill="1" applyBorder="1" applyAlignment="1">
      <alignment horizontal="justify" vertical="top" wrapText="1"/>
    </xf>
    <xf numFmtId="0" fontId="4" fillId="0" borderId="1" xfId="0" applyFont="1" applyBorder="1" applyAlignment="1">
      <alignment horizontal="justify" vertical="top" wrapText="1"/>
    </xf>
    <xf numFmtId="14" fontId="4" fillId="0" borderId="2" xfId="0" applyNumberFormat="1" applyFont="1" applyBorder="1" applyAlignment="1">
      <alignment horizontal="justify" vertical="top" wrapText="1"/>
    </xf>
    <xf numFmtId="0" fontId="0" fillId="0" borderId="0" xfId="0"/>
    <xf numFmtId="0" fontId="4" fillId="0" borderId="0" xfId="0" applyFont="1"/>
    <xf numFmtId="0" fontId="4" fillId="0" borderId="2" xfId="0" applyFont="1" applyBorder="1" applyAlignment="1">
      <alignment vertical="top"/>
    </xf>
    <xf numFmtId="0" fontId="39" fillId="0" borderId="1" xfId="0" applyFont="1" applyBorder="1" applyAlignment="1">
      <alignment horizontal="left" vertical="top" wrapText="1"/>
    </xf>
    <xf numFmtId="0" fontId="39" fillId="0" borderId="0" xfId="0" applyFont="1" applyAlignment="1">
      <alignment horizontal="left" vertical="top" wrapText="1"/>
    </xf>
    <xf numFmtId="0" fontId="39" fillId="0" borderId="1" xfId="0" applyFont="1" applyBorder="1" applyAlignment="1">
      <alignment horizontal="center" vertical="center" wrapText="1"/>
    </xf>
    <xf numFmtId="0" fontId="7" fillId="0" borderId="1" xfId="0" applyFont="1" applyBorder="1" applyAlignment="1">
      <alignment horizontal="center" vertical="center" wrapText="1"/>
    </xf>
    <xf numFmtId="0" fontId="39" fillId="0" borderId="0" xfId="0" applyFont="1" applyAlignment="1">
      <alignment horizontal="center" vertical="center" wrapText="1"/>
    </xf>
    <xf numFmtId="0" fontId="40" fillId="0" borderId="0" xfId="0" applyFont="1"/>
    <xf numFmtId="0" fontId="39" fillId="0" borderId="5" xfId="0" applyFont="1" applyBorder="1" applyAlignment="1">
      <alignment horizontal="left" vertical="top" wrapText="1"/>
    </xf>
    <xf numFmtId="0" fontId="7" fillId="0" borderId="5" xfId="0" applyFont="1" applyBorder="1" applyAlignment="1">
      <alignment horizontal="left" vertical="top" wrapText="1"/>
    </xf>
    <xf numFmtId="14" fontId="4" fillId="0" borderId="6" xfId="0" applyNumberFormat="1" applyFont="1" applyBorder="1" applyAlignment="1">
      <alignment horizontal="justify" vertical="top" wrapText="1"/>
    </xf>
    <xf numFmtId="0" fontId="4" fillId="0" borderId="5" xfId="0" applyFont="1" applyBorder="1" applyAlignment="1">
      <alignment horizontal="left" vertical="top" wrapText="1"/>
    </xf>
    <xf numFmtId="0" fontId="4" fillId="0" borderId="1" xfId="0" applyFont="1" applyBorder="1" applyAlignment="1">
      <alignment horizontal="left" vertical="center"/>
    </xf>
    <xf numFmtId="14" fontId="4" fillId="0" borderId="2" xfId="0" applyNumberFormat="1" applyFont="1" applyBorder="1" applyAlignment="1">
      <alignment horizontal="justify" vertical="top" wrapText="1"/>
    </xf>
    <xf numFmtId="0" fontId="0" fillId="0" borderId="0" xfId="0"/>
    <xf numFmtId="0" fontId="0" fillId="0" borderId="1" xfId="0" applyBorder="1"/>
    <xf numFmtId="0" fontId="4" fillId="0" borderId="1" xfId="0" applyFont="1" applyBorder="1" applyAlignment="1">
      <alignment horizontal="justify" vertical="top" wrapText="1"/>
    </xf>
    <xf numFmtId="14" fontId="4" fillId="0" borderId="2" xfId="0" applyNumberFormat="1" applyFont="1" applyBorder="1" applyAlignment="1">
      <alignment horizontal="justify" vertical="top" wrapText="1"/>
    </xf>
    <xf numFmtId="0" fontId="4" fillId="0" borderId="1" xfId="0" applyFont="1" applyBorder="1" applyAlignment="1">
      <alignment horizontal="justify" vertical="top" wrapText="1"/>
    </xf>
    <xf numFmtId="0" fontId="4" fillId="0" borderId="1" xfId="0" applyFont="1" applyBorder="1" applyAlignment="1">
      <alignment horizontal="justify" vertical="top" wrapText="1"/>
    </xf>
    <xf numFmtId="14" fontId="4" fillId="0" borderId="2" xfId="0" applyNumberFormat="1" applyFont="1" applyBorder="1" applyAlignment="1">
      <alignment horizontal="justify" vertical="top" wrapText="1"/>
    </xf>
    <xf numFmtId="0" fontId="7" fillId="0" borderId="1" xfId="0" applyFont="1" applyBorder="1" applyAlignment="1">
      <alignment horizontal="center" vertical="center" wrapText="1"/>
    </xf>
    <xf numFmtId="0" fontId="4" fillId="0" borderId="1" xfId="0" applyFont="1" applyBorder="1" applyAlignment="1">
      <alignment horizontal="justify" vertical="top" wrapText="1"/>
    </xf>
    <xf numFmtId="14" fontId="4" fillId="0" borderId="2" xfId="0" applyNumberFormat="1" applyFont="1" applyBorder="1" applyAlignment="1">
      <alignment horizontal="justify" vertical="top" wrapText="1"/>
    </xf>
    <xf numFmtId="0" fontId="7" fillId="0" borderId="1" xfId="0" applyFont="1" applyBorder="1" applyAlignment="1">
      <alignment horizontal="center" vertical="center" wrapText="1"/>
    </xf>
    <xf numFmtId="0" fontId="4" fillId="0" borderId="1" xfId="0" applyFont="1" applyBorder="1" applyAlignment="1">
      <alignment horizontal="justify" vertical="top" wrapText="1"/>
    </xf>
    <xf numFmtId="14" fontId="4" fillId="0" borderId="2" xfId="0" applyNumberFormat="1" applyFont="1" applyBorder="1" applyAlignment="1">
      <alignment horizontal="justify" vertical="top" wrapText="1"/>
    </xf>
    <xf numFmtId="0" fontId="7" fillId="0" borderId="1" xfId="0" applyFont="1" applyBorder="1" applyAlignment="1">
      <alignment horizontal="center" vertical="center" wrapText="1"/>
    </xf>
    <xf numFmtId="0" fontId="4" fillId="0" borderId="1" xfId="0" applyFont="1" applyBorder="1" applyAlignment="1">
      <alignment horizontal="justify" vertical="top" wrapText="1"/>
    </xf>
    <xf numFmtId="14" fontId="4" fillId="0" borderId="2" xfId="0" applyNumberFormat="1" applyFont="1" applyBorder="1" applyAlignment="1">
      <alignment horizontal="justify" vertical="top" wrapText="1"/>
    </xf>
    <xf numFmtId="0" fontId="7" fillId="0" borderId="1" xfId="0" applyFont="1" applyBorder="1" applyAlignment="1">
      <alignment horizontal="center" vertical="center" wrapText="1"/>
    </xf>
    <xf numFmtId="0" fontId="0" fillId="0" borderId="1" xfId="0" applyBorder="1"/>
    <xf numFmtId="0" fontId="4" fillId="0" borderId="1" xfId="0" applyFont="1" applyBorder="1" applyAlignment="1">
      <alignment horizontal="justify" vertical="top" wrapText="1"/>
    </xf>
    <xf numFmtId="14" fontId="4" fillId="0" borderId="2" xfId="0" applyNumberFormat="1" applyFont="1" applyBorder="1" applyAlignment="1">
      <alignment horizontal="justify" vertical="top" wrapText="1"/>
    </xf>
    <xf numFmtId="0" fontId="0" fillId="0" borderId="0" xfId="0"/>
    <xf numFmtId="0" fontId="4" fillId="0" borderId="1" xfId="0" applyFont="1" applyBorder="1" applyAlignment="1">
      <alignment horizontal="justify" vertical="top" wrapText="1"/>
    </xf>
    <xf numFmtId="0" fontId="0" fillId="0" borderId="0" xfId="0"/>
    <xf numFmtId="0" fontId="0" fillId="0" borderId="1" xfId="0" applyBorder="1"/>
    <xf numFmtId="0" fontId="4" fillId="0" borderId="1" xfId="0" applyFont="1" applyBorder="1" applyAlignment="1">
      <alignment horizontal="justify" vertical="top" wrapText="1"/>
    </xf>
    <xf numFmtId="14" fontId="4" fillId="0" borderId="2" xfId="0" applyNumberFormat="1" applyFont="1" applyBorder="1" applyAlignment="1">
      <alignment horizontal="justify" vertical="top" wrapText="1"/>
    </xf>
    <xf numFmtId="0" fontId="4" fillId="0" borderId="1" xfId="0" applyFont="1" applyBorder="1" applyAlignment="1">
      <alignment horizontal="justify" vertical="top" wrapText="1"/>
    </xf>
    <xf numFmtId="0" fontId="4" fillId="0" borderId="1" xfId="0" applyFont="1" applyBorder="1" applyAlignment="1">
      <alignment horizontal="justify" vertical="top" wrapText="1"/>
    </xf>
    <xf numFmtId="0" fontId="0" fillId="0" borderId="0" xfId="0"/>
    <xf numFmtId="0" fontId="0" fillId="0" borderId="1" xfId="0" applyBorder="1"/>
    <xf numFmtId="0" fontId="4" fillId="0" borderId="1" xfId="0" applyFont="1" applyBorder="1" applyAlignment="1">
      <alignment horizontal="justify" vertical="top" wrapText="1"/>
    </xf>
    <xf numFmtId="14" fontId="4" fillId="0" borderId="2" xfId="0" applyNumberFormat="1" applyFont="1" applyBorder="1" applyAlignment="1">
      <alignment horizontal="justify" vertical="top" wrapText="1"/>
    </xf>
    <xf numFmtId="0" fontId="4" fillId="3" borderId="1" xfId="0" applyFont="1" applyFill="1" applyBorder="1" applyAlignment="1">
      <alignment horizontal="left" vertical="center"/>
    </xf>
    <xf numFmtId="0" fontId="4" fillId="3" borderId="2" xfId="0" applyFont="1" applyFill="1" applyBorder="1" applyAlignment="1">
      <alignment vertical="top"/>
    </xf>
    <xf numFmtId="0" fontId="4" fillId="3" borderId="1" xfId="0" applyFont="1" applyFill="1" applyBorder="1" applyAlignment="1">
      <alignment vertical="top"/>
    </xf>
    <xf numFmtId="0" fontId="7" fillId="3" borderId="5" xfId="0" applyFont="1" applyFill="1" applyBorder="1" applyAlignment="1">
      <alignment horizontal="left" vertical="top" wrapText="1"/>
    </xf>
    <xf numFmtId="0" fontId="7" fillId="3" borderId="5" xfId="6" applyFont="1" applyFill="1" applyBorder="1" applyAlignment="1">
      <alignment vertical="top" wrapText="1"/>
    </xf>
    <xf numFmtId="0" fontId="4" fillId="3" borderId="2" xfId="0" applyFont="1" applyFill="1" applyBorder="1" applyAlignment="1">
      <alignment vertical="top" wrapText="1"/>
    </xf>
    <xf numFmtId="0" fontId="7" fillId="3" borderId="1" xfId="0" applyFont="1" applyFill="1" applyBorder="1" applyAlignment="1">
      <alignment horizontal="left" vertical="top" wrapText="1"/>
    </xf>
    <xf numFmtId="0" fontId="4" fillId="3" borderId="5" xfId="0" applyFont="1" applyFill="1" applyBorder="1" applyAlignment="1">
      <alignment horizontal="left" vertical="top" wrapText="1"/>
    </xf>
    <xf numFmtId="0" fontId="0" fillId="3" borderId="1" xfId="0" applyFill="1" applyBorder="1"/>
    <xf numFmtId="0" fontId="0" fillId="3" borderId="0" xfId="0" applyFill="1"/>
    <xf numFmtId="0" fontId="4" fillId="0" borderId="1" xfId="0" applyFont="1" applyBorder="1" applyAlignment="1">
      <alignment horizontal="justify" vertical="top" wrapText="1"/>
    </xf>
    <xf numFmtId="0" fontId="7" fillId="0" borderId="1" xfId="0" applyFont="1" applyBorder="1" applyAlignment="1">
      <alignment horizontal="center" vertical="center" wrapText="1"/>
    </xf>
    <xf numFmtId="0" fontId="0" fillId="0" borderId="1" xfId="0" applyBorder="1"/>
    <xf numFmtId="0" fontId="4" fillId="0" borderId="1" xfId="0" applyFont="1" applyBorder="1" applyAlignment="1">
      <alignment horizontal="justify" vertical="top" wrapText="1"/>
    </xf>
    <xf numFmtId="14" fontId="4" fillId="0" borderId="2" xfId="0" applyNumberFormat="1" applyFont="1" applyBorder="1" applyAlignment="1">
      <alignment horizontal="justify" vertical="top" wrapText="1"/>
    </xf>
    <xf numFmtId="0" fontId="0" fillId="0" borderId="0" xfId="0"/>
    <xf numFmtId="0" fontId="4" fillId="0" borderId="1" xfId="0" applyFont="1" applyBorder="1" applyAlignment="1">
      <alignment horizontal="justify" vertical="top" wrapText="1"/>
    </xf>
    <xf numFmtId="14" fontId="4" fillId="0" borderId="2" xfId="0" applyNumberFormat="1" applyFont="1" applyBorder="1" applyAlignment="1">
      <alignment horizontal="justify" vertical="top" wrapText="1"/>
    </xf>
    <xf numFmtId="0" fontId="0" fillId="0" borderId="0" xfId="0"/>
    <xf numFmtId="0" fontId="4" fillId="0" borderId="1" xfId="0" applyFont="1" applyBorder="1" applyAlignment="1">
      <alignment horizontal="justify" vertical="top" wrapText="1"/>
    </xf>
    <xf numFmtId="14" fontId="4" fillId="0" borderId="2" xfId="0" applyNumberFormat="1" applyFont="1" applyBorder="1" applyAlignment="1">
      <alignment horizontal="justify" vertical="top" wrapText="1"/>
    </xf>
    <xf numFmtId="0" fontId="0" fillId="0" borderId="1" xfId="0" applyBorder="1"/>
    <xf numFmtId="0" fontId="4" fillId="3" borderId="1" xfId="0" applyFont="1" applyFill="1" applyBorder="1" applyAlignment="1">
      <alignment horizontal="justify" vertical="top" wrapText="1"/>
    </xf>
    <xf numFmtId="14" fontId="4" fillId="3" borderId="2" xfId="0" applyNumberFormat="1" applyFont="1" applyFill="1" applyBorder="1" applyAlignment="1">
      <alignment horizontal="justify" vertical="top" wrapText="1"/>
    </xf>
    <xf numFmtId="0" fontId="0" fillId="0" borderId="0" xfId="0"/>
    <xf numFmtId="0" fontId="0" fillId="0" borderId="1" xfId="0" applyBorder="1"/>
    <xf numFmtId="0" fontId="4" fillId="0" borderId="1" xfId="0" applyFont="1" applyBorder="1" applyAlignment="1">
      <alignment horizontal="justify" vertical="top" wrapText="1"/>
    </xf>
    <xf numFmtId="14" fontId="4" fillId="0" borderId="2" xfId="0" applyNumberFormat="1" applyFont="1" applyBorder="1" applyAlignment="1">
      <alignment horizontal="justify" vertical="top" wrapText="1"/>
    </xf>
    <xf numFmtId="0" fontId="0" fillId="0" borderId="1" xfId="0" applyBorder="1"/>
    <xf numFmtId="14" fontId="4" fillId="0" borderId="2" xfId="0" applyNumberFormat="1" applyFont="1" applyBorder="1" applyAlignment="1">
      <alignment horizontal="justify" vertical="top" wrapText="1"/>
    </xf>
    <xf numFmtId="0" fontId="0" fillId="0" borderId="0" xfId="0"/>
    <xf numFmtId="0" fontId="4" fillId="0" borderId="1" xfId="0" applyFont="1" applyBorder="1" applyAlignment="1">
      <alignment horizontal="justify" vertical="top" wrapText="1"/>
    </xf>
    <xf numFmtId="0" fontId="4" fillId="0" borderId="1" xfId="0" applyFont="1" applyBorder="1" applyAlignment="1">
      <alignment horizontal="justify" vertical="top" wrapText="1"/>
    </xf>
    <xf numFmtId="0" fontId="4" fillId="3" borderId="1" xfId="0" applyFont="1" applyFill="1" applyBorder="1" applyAlignment="1">
      <alignment horizontal="justify" vertical="top" wrapText="1"/>
    </xf>
    <xf numFmtId="0" fontId="4" fillId="0" borderId="1" xfId="0" applyFont="1" applyBorder="1" applyAlignment="1">
      <alignment horizontal="justify" vertical="top" wrapText="1"/>
    </xf>
    <xf numFmtId="14" fontId="4" fillId="0" borderId="2" xfId="0" applyNumberFormat="1" applyFont="1" applyBorder="1" applyAlignment="1">
      <alignment horizontal="justify" vertical="top" wrapText="1"/>
    </xf>
    <xf numFmtId="0" fontId="4" fillId="0" borderId="1" xfId="0" applyFont="1" applyBorder="1" applyAlignment="1">
      <alignment horizontal="justify" vertical="top" wrapText="1"/>
    </xf>
    <xf numFmtId="0" fontId="0" fillId="0" borderId="0" xfId="0"/>
    <xf numFmtId="0" fontId="4" fillId="0" borderId="1" xfId="0" applyFont="1" applyBorder="1" applyAlignment="1">
      <alignment horizontal="justify" vertical="top" wrapText="1"/>
    </xf>
    <xf numFmtId="14" fontId="4" fillId="0" borderId="2" xfId="0" applyNumberFormat="1" applyFont="1" applyBorder="1" applyAlignment="1">
      <alignment horizontal="justify" vertical="top" wrapText="1"/>
    </xf>
    <xf numFmtId="0" fontId="4" fillId="0" borderId="1" xfId="0" applyFont="1" applyBorder="1" applyAlignment="1">
      <alignment horizontal="justify" vertical="top" wrapText="1"/>
    </xf>
    <xf numFmtId="0" fontId="4" fillId="3" borderId="1" xfId="0" applyFont="1" applyFill="1" applyBorder="1" applyAlignment="1">
      <alignment horizontal="justify" vertical="top" wrapText="1"/>
    </xf>
    <xf numFmtId="0" fontId="4" fillId="0" borderId="1" xfId="0" applyFont="1" applyBorder="1" applyAlignment="1">
      <alignment vertical="top" wrapText="1"/>
    </xf>
    <xf numFmtId="0" fontId="10" fillId="0" borderId="0" xfId="0" applyFont="1" applyAlignment="1">
      <alignment vertical="top" wrapText="1"/>
    </xf>
    <xf numFmtId="0" fontId="4" fillId="0" borderId="1" xfId="0" applyFont="1" applyBorder="1" applyAlignment="1">
      <alignment horizontal="left" vertical="top" wrapText="1"/>
    </xf>
    <xf numFmtId="0" fontId="4" fillId="0" borderId="1" xfId="0" applyFont="1" applyBorder="1" applyAlignment="1">
      <alignment vertical="top"/>
    </xf>
    <xf numFmtId="0" fontId="0" fillId="0" borderId="0" xfId="0"/>
    <xf numFmtId="0" fontId="0" fillId="0" borderId="0" xfId="0"/>
    <xf numFmtId="0" fontId="4" fillId="0" borderId="1" xfId="0" applyFont="1" applyBorder="1" applyAlignment="1">
      <alignment horizontal="justify" vertical="top" wrapText="1"/>
    </xf>
    <xf numFmtId="0" fontId="0" fillId="0" borderId="0" xfId="0"/>
    <xf numFmtId="0" fontId="0" fillId="0" borderId="1" xfId="0" applyBorder="1"/>
    <xf numFmtId="0" fontId="4" fillId="0" borderId="1" xfId="0" applyFont="1" applyBorder="1" applyAlignment="1">
      <alignment horizontal="justify" vertical="top" wrapText="1"/>
    </xf>
    <xf numFmtId="14" fontId="4" fillId="0" borderId="2" xfId="0" applyNumberFormat="1" applyFont="1" applyBorder="1" applyAlignment="1">
      <alignment horizontal="justify" vertical="top" wrapText="1"/>
    </xf>
    <xf numFmtId="0" fontId="4" fillId="0" borderId="1" xfId="0" applyFont="1" applyBorder="1" applyAlignment="1">
      <alignment horizontal="justify" vertical="top" wrapText="1"/>
    </xf>
    <xf numFmtId="14" fontId="4" fillId="0" borderId="2" xfId="0" applyNumberFormat="1" applyFont="1" applyBorder="1" applyAlignment="1">
      <alignment horizontal="justify" vertical="top" wrapText="1"/>
    </xf>
    <xf numFmtId="0" fontId="0" fillId="0" borderId="0" xfId="0"/>
    <xf numFmtId="0" fontId="4" fillId="0" borderId="1" xfId="0" applyFont="1" applyBorder="1" applyAlignment="1">
      <alignment horizontal="justify" vertical="top" wrapText="1"/>
    </xf>
    <xf numFmtId="14" fontId="4" fillId="0" borderId="2" xfId="0" applyNumberFormat="1" applyFont="1" applyBorder="1" applyAlignment="1">
      <alignment horizontal="justify" vertical="top" wrapText="1"/>
    </xf>
    <xf numFmtId="0" fontId="0" fillId="0" borderId="0" xfId="0"/>
    <xf numFmtId="0" fontId="4" fillId="0" borderId="1" xfId="0" applyFont="1" applyBorder="1" applyAlignment="1">
      <alignment horizontal="justify" vertical="top" wrapText="1"/>
    </xf>
    <xf numFmtId="14" fontId="4" fillId="0" borderId="2" xfId="0" applyNumberFormat="1" applyFont="1" applyBorder="1" applyAlignment="1">
      <alignment horizontal="justify" vertical="top" wrapText="1"/>
    </xf>
    <xf numFmtId="0" fontId="0" fillId="0" borderId="0" xfId="0"/>
    <xf numFmtId="0" fontId="4" fillId="0" borderId="1" xfId="0" applyFont="1" applyBorder="1" applyAlignment="1">
      <alignment horizontal="justify" vertical="top" wrapText="1"/>
    </xf>
    <xf numFmtId="0" fontId="0" fillId="0" borderId="0" xfId="0"/>
    <xf numFmtId="0" fontId="4" fillId="0" borderId="1" xfId="0" applyFont="1" applyBorder="1" applyAlignment="1">
      <alignment horizontal="justify" vertical="top" wrapText="1"/>
    </xf>
    <xf numFmtId="0" fontId="4" fillId="3" borderId="1" xfId="0" applyFont="1" applyFill="1" applyBorder="1" applyAlignment="1">
      <alignment horizontal="justify" vertical="top" wrapText="1"/>
    </xf>
    <xf numFmtId="0" fontId="0" fillId="3" borderId="0" xfId="0" applyFill="1"/>
    <xf numFmtId="0" fontId="4" fillId="0" borderId="4" xfId="0" applyFont="1" applyFill="1" applyBorder="1" applyAlignment="1">
      <alignment horizontal="justify" vertical="top" wrapText="1"/>
    </xf>
    <xf numFmtId="0" fontId="0" fillId="0" borderId="0" xfId="0"/>
    <xf numFmtId="0" fontId="0" fillId="0" borderId="0" xfId="0"/>
    <xf numFmtId="0" fontId="0" fillId="0" borderId="0" xfId="0"/>
    <xf numFmtId="0" fontId="0" fillId="0" borderId="1" xfId="0" applyBorder="1"/>
    <xf numFmtId="0" fontId="4" fillId="0" borderId="1" xfId="0" applyFont="1" applyBorder="1" applyAlignment="1">
      <alignment horizontal="justify" vertical="top" wrapText="1"/>
    </xf>
    <xf numFmtId="14" fontId="4" fillId="0" borderId="2" xfId="0" applyNumberFormat="1" applyFont="1" applyBorder="1" applyAlignment="1">
      <alignment horizontal="justify" vertical="top" wrapText="1"/>
    </xf>
    <xf numFmtId="0" fontId="4" fillId="0" borderId="1" xfId="0" applyFont="1" applyBorder="1" applyAlignment="1">
      <alignment horizontal="justify" vertical="top" wrapText="1"/>
    </xf>
    <xf numFmtId="0" fontId="4" fillId="0" borderId="1" xfId="0" applyFont="1" applyBorder="1" applyAlignment="1">
      <alignment horizontal="justify" vertical="top" wrapText="1"/>
    </xf>
    <xf numFmtId="0" fontId="3" fillId="2" borderId="1" xfId="1" applyFont="1" applyFill="1" applyBorder="1" applyAlignment="1">
      <alignment horizontal="justify" vertical="center" wrapText="1"/>
    </xf>
    <xf numFmtId="0" fontId="0" fillId="0" borderId="1" xfId="0" applyBorder="1"/>
    <xf numFmtId="0" fontId="4" fillId="0" borderId="1" xfId="0" applyFont="1" applyBorder="1" applyAlignment="1">
      <alignment horizontal="justify" vertical="top" wrapText="1"/>
    </xf>
    <xf numFmtId="14" fontId="4" fillId="0" borderId="2" xfId="0" applyNumberFormat="1" applyFont="1" applyBorder="1" applyAlignment="1">
      <alignment horizontal="justify" vertical="top" wrapText="1"/>
    </xf>
    <xf numFmtId="0" fontId="0" fillId="0" borderId="0" xfId="0"/>
    <xf numFmtId="0" fontId="4" fillId="0" borderId="1" xfId="0" applyFont="1" applyBorder="1" applyAlignment="1">
      <alignment horizontal="justify" vertical="top" wrapText="1"/>
    </xf>
    <xf numFmtId="14" fontId="4" fillId="0" borderId="2" xfId="0" applyNumberFormat="1" applyFont="1" applyBorder="1" applyAlignment="1">
      <alignment horizontal="justify" vertical="top" wrapText="1"/>
    </xf>
    <xf numFmtId="0" fontId="4" fillId="0" borderId="1" xfId="0" applyFont="1" applyBorder="1" applyAlignment="1">
      <alignment horizontal="justify" vertical="top" wrapText="1"/>
    </xf>
    <xf numFmtId="0" fontId="4" fillId="0" borderId="1" xfId="0" applyFont="1" applyBorder="1" applyAlignment="1">
      <alignment horizontal="justify" vertical="top" wrapText="1"/>
    </xf>
    <xf numFmtId="0" fontId="4" fillId="0" borderId="1" xfId="0" applyFont="1" applyBorder="1" applyAlignment="1">
      <alignment horizontal="justify" vertical="top" wrapText="1"/>
    </xf>
    <xf numFmtId="14" fontId="4" fillId="0" borderId="2" xfId="0" applyNumberFormat="1" applyFont="1" applyBorder="1" applyAlignment="1">
      <alignment horizontal="justify" vertical="top" wrapText="1"/>
    </xf>
    <xf numFmtId="0" fontId="4" fillId="0" borderId="1" xfId="0" applyFont="1" applyBorder="1" applyAlignment="1">
      <alignment horizontal="justify" vertical="top" wrapText="1"/>
    </xf>
    <xf numFmtId="0" fontId="0" fillId="0" borderId="1" xfId="0" applyBorder="1" applyAlignment="1">
      <alignment wrapText="1"/>
    </xf>
    <xf numFmtId="14" fontId="4" fillId="3" borderId="1" xfId="0" applyNumberFormat="1" applyFont="1" applyFill="1" applyBorder="1" applyAlignment="1">
      <alignment horizontal="justify" vertical="top" wrapText="1"/>
    </xf>
    <xf numFmtId="0" fontId="0" fillId="4" borderId="0" xfId="0" applyFill="1"/>
    <xf numFmtId="0" fontId="0" fillId="4" borderId="1" xfId="0" applyFill="1" applyBorder="1"/>
    <xf numFmtId="0" fontId="4" fillId="0" borderId="1" xfId="0" applyFont="1" applyBorder="1" applyAlignment="1">
      <alignment horizontal="justify" vertical="top" wrapText="1"/>
    </xf>
    <xf numFmtId="14" fontId="4" fillId="0" borderId="2" xfId="0" applyNumberFormat="1" applyFont="1" applyBorder="1" applyAlignment="1">
      <alignment horizontal="justify" vertical="top" wrapText="1"/>
    </xf>
    <xf numFmtId="0" fontId="0" fillId="0" borderId="0" xfId="0"/>
    <xf numFmtId="0" fontId="0" fillId="0" borderId="0" xfId="0"/>
    <xf numFmtId="0" fontId="0" fillId="0" borderId="0" xfId="0"/>
    <xf numFmtId="0" fontId="0" fillId="0" borderId="0" xfId="0"/>
    <xf numFmtId="0" fontId="0" fillId="0" borderId="0" xfId="0"/>
    <xf numFmtId="0" fontId="49" fillId="3" borderId="1" xfId="0" applyFont="1" applyFill="1" applyBorder="1" applyAlignment="1">
      <alignment horizontal="justify" vertical="top" wrapText="1"/>
    </xf>
    <xf numFmtId="0" fontId="7" fillId="3" borderId="1" xfId="0" applyFont="1" applyFill="1" applyBorder="1" applyAlignment="1">
      <alignment horizontal="justify" vertical="top" wrapText="1"/>
    </xf>
    <xf numFmtId="0" fontId="4" fillId="3" borderId="1" xfId="0" applyFont="1" applyFill="1" applyBorder="1" applyAlignment="1">
      <alignment horizontal="justify" vertical="top" wrapText="1"/>
    </xf>
    <xf numFmtId="0" fontId="4" fillId="0" borderId="1" xfId="0" applyFont="1" applyBorder="1" applyAlignment="1">
      <alignment horizontal="justify" vertical="top" wrapText="1"/>
    </xf>
    <xf numFmtId="0" fontId="4" fillId="3" borderId="1" xfId="0" applyFont="1" applyFill="1" applyBorder="1" applyAlignment="1">
      <alignment horizontal="justify" vertical="top" wrapText="1"/>
    </xf>
    <xf numFmtId="0" fontId="4" fillId="3" borderId="1" xfId="0" applyFont="1" applyFill="1" applyBorder="1" applyAlignment="1">
      <alignment horizontal="justify" vertical="top" wrapText="1"/>
    </xf>
    <xf numFmtId="0" fontId="0" fillId="0" borderId="0" xfId="0"/>
    <xf numFmtId="0" fontId="4" fillId="3" borderId="1" xfId="0" applyFont="1" applyFill="1" applyBorder="1" applyAlignment="1">
      <alignment horizontal="justify" vertical="top" wrapText="1"/>
    </xf>
    <xf numFmtId="0" fontId="4" fillId="0" borderId="1" xfId="0" applyFont="1" applyBorder="1" applyAlignment="1">
      <alignment horizontal="justify" vertical="top" wrapText="1"/>
    </xf>
    <xf numFmtId="0" fontId="0" fillId="0" borderId="0" xfId="0"/>
    <xf numFmtId="0" fontId="0" fillId="0" borderId="0" xfId="0"/>
    <xf numFmtId="0" fontId="0" fillId="0" borderId="0" xfId="0"/>
    <xf numFmtId="0" fontId="0" fillId="0" borderId="0" xfId="0"/>
    <xf numFmtId="0" fontId="4" fillId="3" borderId="1" xfId="0" applyFont="1" applyFill="1" applyBorder="1" applyAlignment="1">
      <alignment horizontal="justify" vertical="top" wrapText="1"/>
    </xf>
    <xf numFmtId="0" fontId="0" fillId="0" borderId="7" xfId="0" applyBorder="1" applyAlignment="1">
      <alignment wrapText="1"/>
    </xf>
    <xf numFmtId="0" fontId="4" fillId="3" borderId="7" xfId="0" applyFont="1" applyFill="1" applyBorder="1" applyAlignment="1">
      <alignment horizontal="justify" vertical="top" wrapText="1"/>
    </xf>
    <xf numFmtId="14" fontId="4" fillId="3" borderId="7" xfId="0" applyNumberFormat="1" applyFont="1" applyFill="1" applyBorder="1" applyAlignment="1">
      <alignment horizontal="justify" vertical="top" wrapText="1"/>
    </xf>
    <xf numFmtId="0" fontId="0" fillId="0" borderId="7" xfId="0" applyBorder="1"/>
    <xf numFmtId="0" fontId="4" fillId="0" borderId="7" xfId="0" applyFont="1" applyBorder="1" applyAlignment="1">
      <alignment horizontal="justify" vertical="top" wrapText="1"/>
    </xf>
    <xf numFmtId="14" fontId="4" fillId="0" borderId="8" xfId="0" applyNumberFormat="1" applyFont="1" applyBorder="1" applyAlignment="1">
      <alignment horizontal="justify" vertical="top" wrapText="1"/>
    </xf>
    <xf numFmtId="0" fontId="7" fillId="3" borderId="7" xfId="0" applyFont="1" applyFill="1" applyBorder="1" applyAlignment="1">
      <alignment horizontal="justify" vertical="top" wrapText="1"/>
    </xf>
    <xf numFmtId="0" fontId="61" fillId="3" borderId="7" xfId="0" applyFont="1" applyFill="1" applyBorder="1" applyAlignment="1">
      <alignment horizontal="justify" vertical="top" wrapText="1"/>
    </xf>
    <xf numFmtId="0" fontId="0" fillId="0" borderId="0" xfId="0"/>
    <xf numFmtId="0" fontId="59" fillId="0" borderId="0" xfId="0" applyFont="1" applyAlignment="1">
      <alignment wrapText="1"/>
    </xf>
    <xf numFmtId="0" fontId="0" fillId="0" borderId="0" xfId="0"/>
    <xf numFmtId="0" fontId="4" fillId="0" borderId="7" xfId="0" applyFont="1" applyBorder="1" applyAlignment="1">
      <alignment horizontal="justify" vertical="top" wrapText="1"/>
    </xf>
    <xf numFmtId="14" fontId="4" fillId="0" borderId="8" xfId="0" applyNumberFormat="1" applyFont="1" applyBorder="1" applyAlignment="1">
      <alignment horizontal="justify" vertical="top" wrapText="1"/>
    </xf>
    <xf numFmtId="0" fontId="0" fillId="0" borderId="7" xfId="0" applyBorder="1"/>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4" fillId="0" borderId="7" xfId="0" applyFont="1" applyBorder="1" applyAlignment="1">
      <alignment horizontal="justify" vertical="top" wrapText="1"/>
    </xf>
    <xf numFmtId="0" fontId="4" fillId="3" borderId="7" xfId="0" applyFont="1" applyFill="1" applyBorder="1" applyAlignment="1">
      <alignment horizontal="justify" vertical="top" wrapText="1"/>
    </xf>
    <xf numFmtId="14" fontId="4" fillId="0" borderId="8" xfId="0" applyNumberFormat="1" applyFont="1" applyBorder="1" applyAlignment="1">
      <alignment horizontal="justify" vertical="top" wrapText="1"/>
    </xf>
    <xf numFmtId="0" fontId="0" fillId="0" borderId="7" xfId="0" applyBorder="1"/>
    <xf numFmtId="0" fontId="0" fillId="0" borderId="0" xfId="0"/>
    <xf numFmtId="0" fontId="0" fillId="0" borderId="0" xfId="0"/>
    <xf numFmtId="0" fontId="0" fillId="0" borderId="0" xfId="0"/>
    <xf numFmtId="0" fontId="0" fillId="0" borderId="0" xfId="0"/>
    <xf numFmtId="0" fontId="0" fillId="0" borderId="0" xfId="0"/>
    <xf numFmtId="0" fontId="4" fillId="3" borderId="7" xfId="0" applyFont="1" applyFill="1" applyBorder="1" applyAlignment="1">
      <alignment horizontal="justify" vertical="top" wrapText="1"/>
    </xf>
    <xf numFmtId="0" fontId="0" fillId="0" borderId="0" xfId="0"/>
    <xf numFmtId="0" fontId="65" fillId="0" borderId="7" xfId="118" applyFont="1" applyBorder="1" applyAlignment="1">
      <alignment horizontal="left" vertical="top" wrapText="1"/>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4" fillId="3" borderId="7" xfId="0" applyFont="1" applyFill="1" applyBorder="1" applyAlignment="1">
      <alignment horizontal="justify" vertical="top" wrapText="1"/>
    </xf>
    <xf numFmtId="164" fontId="66" fillId="0" borderId="8" xfId="0" applyNumberFormat="1" applyFont="1" applyBorder="1" applyAlignment="1">
      <alignment horizontal="justify" vertical="top" wrapText="1"/>
    </xf>
    <xf numFmtId="0" fontId="4" fillId="3" borderId="7" xfId="0" applyFont="1" applyFill="1" applyBorder="1" applyAlignment="1">
      <alignment horizontal="justify" vertical="top"/>
    </xf>
    <xf numFmtId="0" fontId="4" fillId="0" borderId="7" xfId="0" applyFont="1" applyBorder="1" applyAlignment="1">
      <alignment horizontal="left" vertical="top" wrapText="1"/>
    </xf>
    <xf numFmtId="14" fontId="4" fillId="3" borderId="8" xfId="0" applyNumberFormat="1" applyFont="1" applyFill="1" applyBorder="1" applyAlignment="1">
      <alignment horizontal="justify" vertical="top" wrapText="1"/>
    </xf>
    <xf numFmtId="0" fontId="0" fillId="3" borderId="7" xfId="0" applyFill="1" applyBorder="1"/>
    <xf numFmtId="0" fontId="0" fillId="0" borderId="0" xfId="0"/>
    <xf numFmtId="0" fontId="4" fillId="0" borderId="10" xfId="0" applyFont="1" applyBorder="1" applyAlignment="1">
      <alignment horizontal="left" vertical="top" wrapText="1"/>
    </xf>
    <xf numFmtId="0" fontId="0" fillId="0" borderId="5" xfId="0" applyBorder="1"/>
    <xf numFmtId="0" fontId="72" fillId="0" borderId="7" xfId="0" applyFont="1" applyBorder="1" applyAlignment="1">
      <alignment horizontal="left" vertical="top" wrapText="1"/>
    </xf>
    <xf numFmtId="0" fontId="4" fillId="0" borderId="12" xfId="0" applyFont="1" applyBorder="1" applyAlignment="1">
      <alignment horizontal="left" vertical="top" wrapText="1"/>
    </xf>
    <xf numFmtId="14" fontId="72" fillId="0" borderId="7" xfId="0" applyNumberFormat="1" applyFont="1" applyBorder="1" applyAlignment="1">
      <alignment horizontal="left" vertical="top" wrapText="1"/>
    </xf>
    <xf numFmtId="0" fontId="4" fillId="3" borderId="5" xfId="0" applyFont="1" applyFill="1" applyBorder="1" applyAlignment="1">
      <alignment horizontal="justify" vertical="top" wrapText="1"/>
    </xf>
    <xf numFmtId="14" fontId="4" fillId="0" borderId="9" xfId="0" applyNumberFormat="1" applyFont="1" applyBorder="1" applyAlignment="1">
      <alignment horizontal="justify" vertical="top" wrapText="1"/>
    </xf>
    <xf numFmtId="0" fontId="4" fillId="0" borderId="11" xfId="0" applyFont="1" applyBorder="1" applyAlignment="1">
      <alignment horizontal="left" vertical="top" wrapText="1"/>
    </xf>
    <xf numFmtId="0" fontId="4" fillId="3" borderId="11" xfId="0" applyFont="1" applyFill="1" applyBorder="1" applyAlignment="1">
      <alignment horizontal="justify" vertical="top" wrapText="1"/>
    </xf>
    <xf numFmtId="0" fontId="72" fillId="0" borderId="13" xfId="0" applyFont="1" applyBorder="1" applyAlignment="1">
      <alignment horizontal="left" vertical="top" wrapText="1"/>
    </xf>
    <xf numFmtId="14" fontId="72" fillId="0" borderId="11" xfId="0" applyNumberFormat="1" applyFont="1" applyBorder="1" applyAlignment="1">
      <alignment horizontal="left" vertical="top" wrapText="1"/>
    </xf>
    <xf numFmtId="0" fontId="72" fillId="0" borderId="11" xfId="0" applyFont="1" applyBorder="1" applyAlignment="1">
      <alignment horizontal="left" vertical="top" wrapText="1"/>
    </xf>
    <xf numFmtId="0" fontId="4" fillId="0" borderId="14" xfId="0" applyFont="1" applyBorder="1" applyAlignment="1">
      <alignment horizontal="justify" vertical="top" wrapText="1"/>
    </xf>
    <xf numFmtId="0" fontId="0" fillId="0" borderId="0" xfId="0"/>
    <xf numFmtId="0" fontId="0" fillId="4" borderId="1" xfId="0" applyFill="1" applyBorder="1" applyAlignment="1">
      <alignment wrapText="1"/>
    </xf>
    <xf numFmtId="14" fontId="4" fillId="4" borderId="1" xfId="0" applyNumberFormat="1" applyFont="1" applyFill="1" applyBorder="1" applyAlignment="1">
      <alignment horizontal="justify" vertical="top" wrapText="1"/>
    </xf>
    <xf numFmtId="14" fontId="4" fillId="3" borderId="5" xfId="0" applyNumberFormat="1" applyFont="1" applyFill="1" applyBorder="1" applyAlignment="1">
      <alignment horizontal="justify" vertical="top" wrapText="1"/>
    </xf>
    <xf numFmtId="0" fontId="4" fillId="3" borderId="4" xfId="0" applyFont="1" applyFill="1" applyBorder="1" applyAlignment="1">
      <alignment horizontal="justify" vertical="top" wrapText="1"/>
    </xf>
    <xf numFmtId="0" fontId="4" fillId="0" borderId="13" xfId="0" applyFont="1" applyBorder="1" applyAlignment="1">
      <alignment horizontal="left" vertical="top" wrapText="1"/>
    </xf>
    <xf numFmtId="0" fontId="72" fillId="0" borderId="15" xfId="0" applyFont="1" applyBorder="1" applyAlignment="1">
      <alignment horizontal="justify" vertical="top" wrapText="1"/>
    </xf>
    <xf numFmtId="0" fontId="4" fillId="0" borderId="3" xfId="0" applyFont="1" applyBorder="1" applyAlignment="1">
      <alignment horizontal="justify" vertical="top" wrapText="1"/>
    </xf>
    <xf numFmtId="0" fontId="73" fillId="0" borderId="0" xfId="0" applyFont="1"/>
    <xf numFmtId="0" fontId="0" fillId="0" borderId="8" xfId="0" applyBorder="1" applyAlignment="1">
      <alignment wrapText="1"/>
    </xf>
    <xf numFmtId="0" fontId="0" fillId="0" borderId="8" xfId="0" applyFont="1" applyBorder="1" applyAlignment="1">
      <alignment wrapText="1"/>
    </xf>
    <xf numFmtId="0" fontId="0" fillId="0" borderId="8" xfId="0" applyBorder="1"/>
    <xf numFmtId="0" fontId="0" fillId="0" borderId="6" xfId="0" applyBorder="1"/>
    <xf numFmtId="0" fontId="0" fillId="0" borderId="16" xfId="0" applyBorder="1"/>
    <xf numFmtId="0" fontId="7" fillId="3" borderId="5" xfId="0" applyFont="1" applyFill="1" applyBorder="1" applyAlignment="1">
      <alignment horizontal="justify" vertical="top" wrapText="1"/>
    </xf>
    <xf numFmtId="14" fontId="4" fillId="3" borderId="4" xfId="0" applyNumberFormat="1" applyFont="1" applyFill="1" applyBorder="1" applyAlignment="1">
      <alignment horizontal="justify" vertical="top" wrapText="1"/>
    </xf>
    <xf numFmtId="0" fontId="7" fillId="3" borderId="4" xfId="0" applyFont="1" applyFill="1" applyBorder="1" applyAlignment="1">
      <alignment horizontal="justify" vertical="top" wrapText="1"/>
    </xf>
    <xf numFmtId="0" fontId="7" fillId="3" borderId="11" xfId="0" applyFont="1" applyFill="1" applyBorder="1" applyAlignment="1">
      <alignment horizontal="justify" vertical="top" wrapText="1"/>
    </xf>
    <xf numFmtId="14" fontId="4" fillId="3" borderId="11" xfId="0" applyNumberFormat="1" applyFont="1" applyFill="1" applyBorder="1" applyAlignment="1">
      <alignment horizontal="justify" vertical="top" wrapText="1"/>
    </xf>
    <xf numFmtId="164" fontId="66" fillId="0" borderId="9" xfId="0" applyNumberFormat="1" applyFont="1" applyBorder="1" applyAlignment="1">
      <alignment horizontal="justify" vertical="top" wrapText="1"/>
    </xf>
    <xf numFmtId="0" fontId="67" fillId="0" borderId="4" xfId="0" applyFont="1" applyBorder="1" applyAlignment="1">
      <alignment horizontal="justify" vertical="top" wrapText="1"/>
    </xf>
    <xf numFmtId="14" fontId="4" fillId="0" borderId="4" xfId="0" applyNumberFormat="1" applyFont="1" applyBorder="1" applyAlignment="1">
      <alignment horizontal="justify" vertical="top" wrapText="1"/>
    </xf>
    <xf numFmtId="0" fontId="4" fillId="0" borderId="4" xfId="0" applyFont="1" applyBorder="1" applyAlignment="1">
      <alignment horizontal="left" vertical="top" wrapText="1"/>
    </xf>
    <xf numFmtId="0" fontId="72" fillId="0" borderId="4" xfId="0" applyFont="1" applyBorder="1" applyAlignment="1">
      <alignment horizontal="left" vertical="top" wrapText="1"/>
    </xf>
    <xf numFmtId="14" fontId="4" fillId="0" borderId="9" xfId="0" applyNumberFormat="1" applyFont="1" applyBorder="1" applyAlignment="1">
      <alignment horizontal="left" vertical="top" wrapText="1"/>
    </xf>
    <xf numFmtId="0" fontId="72" fillId="0" borderId="17" xfId="0" applyFont="1" applyBorder="1" applyAlignment="1">
      <alignment horizontal="left" vertical="top" wrapText="1"/>
    </xf>
    <xf numFmtId="0" fontId="4" fillId="0" borderId="12" xfId="0" applyFont="1" applyBorder="1" applyAlignment="1">
      <alignment horizontal="justify" vertical="top" wrapText="1"/>
    </xf>
    <xf numFmtId="0" fontId="4" fillId="3" borderId="18" xfId="0" applyFont="1" applyFill="1" applyBorder="1" applyAlignment="1">
      <alignment horizontal="justify" vertical="top" wrapText="1"/>
    </xf>
    <xf numFmtId="0" fontId="7" fillId="3" borderId="18" xfId="0" applyFont="1" applyFill="1" applyBorder="1" applyAlignment="1">
      <alignment horizontal="justify" vertical="top" wrapText="1"/>
    </xf>
    <xf numFmtId="14" fontId="4" fillId="3" borderId="18" xfId="0" applyNumberFormat="1" applyFont="1" applyFill="1" applyBorder="1" applyAlignment="1">
      <alignment horizontal="justify" vertical="top" wrapText="1"/>
    </xf>
    <xf numFmtId="0" fontId="4" fillId="3" borderId="19" xfId="0" applyFont="1" applyFill="1" applyBorder="1" applyAlignment="1">
      <alignment horizontal="justify" vertical="top" wrapText="1"/>
    </xf>
    <xf numFmtId="14" fontId="4" fillId="3" borderId="19" xfId="0" applyNumberFormat="1" applyFont="1" applyFill="1" applyBorder="1" applyAlignment="1">
      <alignment horizontal="justify" vertical="top" wrapText="1"/>
    </xf>
    <xf numFmtId="0" fontId="7" fillId="3" borderId="19" xfId="0" applyFont="1" applyFill="1" applyBorder="1" applyAlignment="1">
      <alignment horizontal="justify" vertical="top" wrapText="1"/>
    </xf>
    <xf numFmtId="0" fontId="4" fillId="3" borderId="20" xfId="0" applyFont="1" applyFill="1" applyBorder="1" applyAlignment="1">
      <alignment horizontal="justify" vertical="top" wrapText="1"/>
    </xf>
    <xf numFmtId="0" fontId="7" fillId="3" borderId="20" xfId="0" applyFont="1" applyFill="1" applyBorder="1" applyAlignment="1">
      <alignment horizontal="justify" vertical="top" wrapText="1"/>
    </xf>
    <xf numFmtId="14" fontId="4" fillId="3" borderId="20" xfId="0" applyNumberFormat="1" applyFont="1" applyFill="1" applyBorder="1" applyAlignment="1">
      <alignment horizontal="justify" vertical="top" wrapText="1"/>
    </xf>
    <xf numFmtId="14" fontId="4" fillId="0" borderId="21" xfId="0" applyNumberFormat="1" applyFont="1" applyBorder="1" applyAlignment="1">
      <alignment horizontal="justify" vertical="top" wrapText="1"/>
    </xf>
    <xf numFmtId="164" fontId="66" fillId="0" borderId="21" xfId="0" applyNumberFormat="1" applyFont="1" applyBorder="1" applyAlignment="1">
      <alignment horizontal="justify" vertical="top" wrapText="1"/>
    </xf>
    <xf numFmtId="0" fontId="67" fillId="0" borderId="18" xfId="0" applyFont="1" applyBorder="1" applyAlignment="1">
      <alignment horizontal="justify" vertical="top" wrapText="1"/>
    </xf>
    <xf numFmtId="0" fontId="4" fillId="0" borderId="19" xfId="0" applyFont="1" applyBorder="1" applyAlignment="1">
      <alignment horizontal="justify" vertical="top" wrapText="1"/>
    </xf>
    <xf numFmtId="14" fontId="4" fillId="0" borderId="22" xfId="0" applyNumberFormat="1" applyFont="1" applyBorder="1" applyAlignment="1">
      <alignment horizontal="justify" vertical="top" wrapText="1"/>
    </xf>
    <xf numFmtId="0" fontId="4" fillId="0" borderId="18" xfId="0" applyFont="1" applyBorder="1" applyAlignment="1">
      <alignment horizontal="justify" vertical="top" wrapText="1"/>
    </xf>
    <xf numFmtId="0" fontId="72" fillId="0" borderId="23" xfId="0" applyFont="1" applyBorder="1" applyAlignment="1">
      <alignment horizontal="left" vertical="top" wrapText="1"/>
    </xf>
    <xf numFmtId="0" fontId="4" fillId="0" borderId="23" xfId="0" applyFont="1" applyBorder="1" applyAlignment="1">
      <alignment horizontal="left" vertical="top" wrapText="1"/>
    </xf>
    <xf numFmtId="0" fontId="4" fillId="3" borderId="24" xfId="0" applyFont="1" applyFill="1" applyBorder="1" applyAlignment="1">
      <alignment horizontal="justify" vertical="top" wrapText="1"/>
    </xf>
    <xf numFmtId="0" fontId="4" fillId="0" borderId="25" xfId="0" applyFont="1" applyBorder="1" applyAlignment="1">
      <alignment horizontal="left" vertical="top" wrapText="1"/>
    </xf>
    <xf numFmtId="0" fontId="4" fillId="0" borderId="24" xfId="0" applyFont="1" applyBorder="1" applyAlignment="1">
      <alignment horizontal="left" vertical="top" wrapText="1"/>
    </xf>
    <xf numFmtId="0" fontId="72" fillId="0" borderId="26" xfId="0" applyFont="1" applyBorder="1" applyAlignment="1">
      <alignment horizontal="left" vertical="top" wrapText="1"/>
    </xf>
    <xf numFmtId="0" fontId="4" fillId="0" borderId="19" xfId="0" applyFont="1" applyBorder="1" applyAlignment="1">
      <alignment horizontal="left" vertical="top" wrapText="1"/>
    </xf>
    <xf numFmtId="0" fontId="4" fillId="0" borderId="26" xfId="0" applyFont="1" applyBorder="1" applyAlignment="1">
      <alignment horizontal="justify" vertical="top" wrapText="1"/>
    </xf>
    <xf numFmtId="14" fontId="4" fillId="0" borderId="18" xfId="0" applyNumberFormat="1" applyFont="1" applyBorder="1" applyAlignment="1">
      <alignment horizontal="justify" vertical="top" wrapText="1"/>
    </xf>
    <xf numFmtId="0" fontId="4" fillId="0" borderId="18" xfId="0" applyFont="1" applyBorder="1" applyAlignment="1">
      <alignment horizontal="left" vertical="top" wrapText="1"/>
    </xf>
    <xf numFmtId="0" fontId="72" fillId="0" borderId="18" xfId="0" applyFont="1" applyBorder="1" applyAlignment="1">
      <alignment horizontal="left" vertical="top" wrapText="1"/>
    </xf>
    <xf numFmtId="14" fontId="4" fillId="0" borderId="21" xfId="0" applyNumberFormat="1" applyFont="1" applyBorder="1" applyAlignment="1">
      <alignment horizontal="left" vertical="top" wrapText="1"/>
    </xf>
    <xf numFmtId="0" fontId="72" fillId="0" borderId="27" xfId="0" applyFont="1" applyBorder="1" applyAlignment="1">
      <alignment horizontal="left" vertical="top" wrapText="1"/>
    </xf>
    <xf numFmtId="0" fontId="4" fillId="0" borderId="28" xfId="0" applyFont="1" applyBorder="1" applyAlignment="1">
      <alignment horizontal="left" vertical="top" wrapText="1"/>
    </xf>
    <xf numFmtId="0" fontId="4" fillId="3" borderId="27" xfId="0" applyFont="1" applyFill="1" applyBorder="1" applyAlignment="1">
      <alignment horizontal="justify" vertical="top" wrapText="1"/>
    </xf>
    <xf numFmtId="14" fontId="72" fillId="0" borderId="19" xfId="0" applyNumberFormat="1" applyFont="1" applyBorder="1" applyAlignment="1">
      <alignment horizontal="left" vertical="top" wrapText="1"/>
    </xf>
    <xf numFmtId="0" fontId="72" fillId="0" borderId="24" xfId="0" applyFont="1" applyBorder="1" applyAlignment="1">
      <alignment horizontal="left" vertical="top" wrapText="1"/>
    </xf>
    <xf numFmtId="0" fontId="0" fillId="3" borderId="8" xfId="0" applyFill="1" applyBorder="1" applyAlignment="1">
      <alignment wrapText="1"/>
    </xf>
    <xf numFmtId="0" fontId="4" fillId="3" borderId="7" xfId="0" applyFont="1" applyFill="1" applyBorder="1" applyAlignment="1">
      <alignment horizontal="left" vertical="top" wrapText="1"/>
    </xf>
    <xf numFmtId="14" fontId="4" fillId="5" borderId="7" xfId="0" applyNumberFormat="1" applyFont="1" applyFill="1" applyBorder="1" applyAlignment="1">
      <alignment horizontal="justify" vertical="top" wrapText="1"/>
    </xf>
    <xf numFmtId="0" fontId="4" fillId="5" borderId="7" xfId="0" applyFont="1" applyFill="1" applyBorder="1" applyAlignment="1">
      <alignment horizontal="justify" vertical="top" wrapText="1"/>
    </xf>
    <xf numFmtId="0" fontId="0" fillId="5" borderId="0" xfId="0" applyFill="1"/>
    <xf numFmtId="0" fontId="0" fillId="5" borderId="8" xfId="0" applyFill="1" applyBorder="1" applyAlignment="1">
      <alignment wrapText="1"/>
    </xf>
    <xf numFmtId="0" fontId="4" fillId="6" borderId="7" xfId="0" applyFont="1" applyFill="1" applyBorder="1" applyAlignment="1">
      <alignment horizontal="justify" vertical="top" wrapText="1"/>
    </xf>
    <xf numFmtId="14" fontId="4" fillId="6" borderId="7" xfId="0" applyNumberFormat="1" applyFont="1" applyFill="1" applyBorder="1" applyAlignment="1">
      <alignment horizontal="justify" vertical="top" wrapText="1"/>
    </xf>
    <xf numFmtId="0" fontId="65" fillId="6" borderId="7" xfId="118" applyFont="1" applyFill="1" applyBorder="1" applyAlignment="1">
      <alignment horizontal="left" vertical="top" wrapText="1"/>
    </xf>
    <xf numFmtId="0" fontId="7" fillId="6" borderId="7" xfId="0" applyFont="1" applyFill="1" applyBorder="1" applyAlignment="1">
      <alignment horizontal="justify" vertical="top" wrapText="1"/>
    </xf>
    <xf numFmtId="0" fontId="4" fillId="6" borderId="19" xfId="0" applyFont="1" applyFill="1" applyBorder="1" applyAlignment="1">
      <alignment horizontal="justify" vertical="top" wrapText="1"/>
    </xf>
    <xf numFmtId="14" fontId="4" fillId="6" borderId="22" xfId="0" applyNumberFormat="1" applyFont="1" applyFill="1" applyBorder="1" applyAlignment="1">
      <alignment horizontal="justify" vertical="top" wrapText="1"/>
    </xf>
  </cellXfs>
  <cellStyles count="156">
    <cellStyle name="Hyperlink" xfId="2"/>
    <cellStyle name="Hyperlink 10" xfId="117"/>
    <cellStyle name="Hyperlink 10 2" xfId="151"/>
    <cellStyle name="Hyperlink 11" xfId="119"/>
    <cellStyle name="Hyperlink 12" xfId="123"/>
    <cellStyle name="Hyperlink 12 2" xfId="155"/>
    <cellStyle name="Hyperlink 2" xfId="12"/>
    <cellStyle name="Hyperlink 2 2" xfId="21"/>
    <cellStyle name="Hyperlink 2 2 2" xfId="37"/>
    <cellStyle name="Hyperlink 2 3" xfId="28"/>
    <cellStyle name="Hyperlink 2 4" xfId="77"/>
    <cellStyle name="Hyperlink 2 5" xfId="88"/>
    <cellStyle name="Hyperlink 2 5 2" xfId="132"/>
    <cellStyle name="Hyperlink 2 6" xfId="100"/>
    <cellStyle name="Hyperlink 2 7" xfId="102"/>
    <cellStyle name="Hyperlink 3" xfId="15"/>
    <cellStyle name="Hyperlink 4" xfId="41"/>
    <cellStyle name="Hyperlink 4 2" xfId="60"/>
    <cellStyle name="Hyperlink 5" xfId="49"/>
    <cellStyle name="Hyperlink 5 2" xfId="68"/>
    <cellStyle name="Hyperlink 6" xfId="54"/>
    <cellStyle name="Hyperlink 6 2" xfId="72"/>
    <cellStyle name="Hyperlink 7" xfId="55"/>
    <cellStyle name="Hyperlink 8" xfId="92"/>
    <cellStyle name="Hyperlink 8 2" xfId="136"/>
    <cellStyle name="Hyperlink 9" xfId="104"/>
    <cellStyle name="Hyperlink 9 2" xfId="141"/>
    <cellStyle name="Гиперссылка 10" xfId="81"/>
    <cellStyle name="Гиперссылка 10 2" xfId="126"/>
    <cellStyle name="Гиперссылка 11" xfId="94"/>
    <cellStyle name="Гиперссылка 11 2" xfId="138"/>
    <cellStyle name="Гиперссылка 12" xfId="98"/>
    <cellStyle name="Гиперссылка 13" xfId="106"/>
    <cellStyle name="Гиперссылка 13 2" xfId="143"/>
    <cellStyle name="Гиперссылка 14" xfId="110"/>
    <cellStyle name="Гиперссылка 14 2" xfId="147"/>
    <cellStyle name="Гиперссылка 15" xfId="111"/>
    <cellStyle name="Гиперссылка 16" xfId="113"/>
    <cellStyle name="Гиперссылка 2" xfId="4"/>
    <cellStyle name="Гиперссылка 2 2" xfId="33"/>
    <cellStyle name="Гиперссылка 2 3" xfId="82"/>
    <cellStyle name="Гиперссылка 3" xfId="5"/>
    <cellStyle name="Гиперссылка 3 2" xfId="101"/>
    <cellStyle name="Гиперссылка 4" xfId="31"/>
    <cellStyle name="Гиперссылка 5" xfId="43"/>
    <cellStyle name="Гиперссылка 5 2" xfId="62"/>
    <cellStyle name="Гиперссылка 6" xfId="47"/>
    <cellStyle name="Гиперссылка 6 2" xfId="66"/>
    <cellStyle name="Гиперссылка 7" xfId="52"/>
    <cellStyle name="Гиперссылка 7 2" xfId="71"/>
    <cellStyle name="Гиперссылка 8" xfId="73"/>
    <cellStyle name="Гиперссылка 9" xfId="80"/>
    <cellStyle name="Обычный" xfId="0" builtinId="0"/>
    <cellStyle name="Обычный 10" xfId="45"/>
    <cellStyle name="Обычный 10 2" xfId="64"/>
    <cellStyle name="Обычный 11" xfId="48"/>
    <cellStyle name="Обычный 11 2" xfId="67"/>
    <cellStyle name="Обычный 12" xfId="53"/>
    <cellStyle name="Обычный 13" xfId="56"/>
    <cellStyle name="Обычный 14" xfId="57"/>
    <cellStyle name="Обычный 14 2" xfId="124"/>
    <cellStyle name="Обычный 15" xfId="84"/>
    <cellStyle name="Обычный 15 2" xfId="128"/>
    <cellStyle name="Обычный 16" xfId="91"/>
    <cellStyle name="Обычный 16 2" xfId="135"/>
    <cellStyle name="Обычный 17" xfId="96"/>
    <cellStyle name="Обычный 18" xfId="103"/>
    <cellStyle name="Обычный 18 2" xfId="140"/>
    <cellStyle name="Обычный 19" xfId="108"/>
    <cellStyle name="Обычный 19 2" xfId="145"/>
    <cellStyle name="Обычный 2" xfId="3"/>
    <cellStyle name="Обычный 2 2" xfId="13"/>
    <cellStyle name="Обычный 2 2 2" xfId="22"/>
    <cellStyle name="Обычный 2 2 2 2" xfId="38"/>
    <cellStyle name="Обычный 2 2 3" xfId="29"/>
    <cellStyle name="Обычный 2 2 4" xfId="78"/>
    <cellStyle name="Обычный 2 2 5" xfId="89"/>
    <cellStyle name="Обычный 2 2 5 2" xfId="133"/>
    <cellStyle name="Обычный 2 3" xfId="44"/>
    <cellStyle name="Обычный 2 3 2" xfId="63"/>
    <cellStyle name="Обычный 2 4" xfId="50"/>
    <cellStyle name="Обычный 2 4 2" xfId="69"/>
    <cellStyle name="Обычный 2 5" xfId="95"/>
    <cellStyle name="Обычный 2 5 2" xfId="139"/>
    <cellStyle name="Обычный 2 6" xfId="107"/>
    <cellStyle name="Обычный 2 6 2" xfId="144"/>
    <cellStyle name="Обычный 20" xfId="109"/>
    <cellStyle name="Обычный 20 2" xfId="146"/>
    <cellStyle name="Обычный 21" xfId="112"/>
    <cellStyle name="Обычный 22" xfId="114"/>
    <cellStyle name="Обычный 22 2" xfId="148"/>
    <cellStyle name="Обычный 23" xfId="116"/>
    <cellStyle name="Обычный 23 2" xfId="150"/>
    <cellStyle name="Обычный 24" xfId="118"/>
    <cellStyle name="Обычный 25" xfId="120"/>
    <cellStyle name="Обычный 25 2" xfId="152"/>
    <cellStyle name="Обычный 26" xfId="121"/>
    <cellStyle name="Обычный 26 2" xfId="153"/>
    <cellStyle name="Обычный 27" xfId="122"/>
    <cellStyle name="Обычный 27 2" xfId="154"/>
    <cellStyle name="Обычный 3" xfId="1"/>
    <cellStyle name="Обычный 3 10" xfId="83"/>
    <cellStyle name="Обычный 3 10 2" xfId="127"/>
    <cellStyle name="Обычный 3 11" xfId="93"/>
    <cellStyle name="Обычный 3 11 2" xfId="137"/>
    <cellStyle name="Обычный 3 12" xfId="97"/>
    <cellStyle name="Обычный 3 13" xfId="105"/>
    <cellStyle name="Обычный 3 13 2" xfId="142"/>
    <cellStyle name="Обычный 3 14" xfId="115"/>
    <cellStyle name="Обычный 3 14 2" xfId="149"/>
    <cellStyle name="Обычный 3 2" xfId="7"/>
    <cellStyle name="Обычный 3 2 2" xfId="99"/>
    <cellStyle name="Обычный 3 3" xfId="10"/>
    <cellStyle name="Обычный 3 3 2" xfId="19"/>
    <cellStyle name="Обычный 3 3 2 2" xfId="35"/>
    <cellStyle name="Обычный 3 3 3" xfId="26"/>
    <cellStyle name="Обычный 3 3 4" xfId="75"/>
    <cellStyle name="Обычный 3 3 5" xfId="86"/>
    <cellStyle name="Обычный 3 3 5 2" xfId="130"/>
    <cellStyle name="Обычный 3 4" xfId="11"/>
    <cellStyle name="Обычный 3 4 2" xfId="20"/>
    <cellStyle name="Обычный 3 4 2 2" xfId="36"/>
    <cellStyle name="Обычный 3 4 3" xfId="27"/>
    <cellStyle name="Обычный 3 4 4" xfId="76"/>
    <cellStyle name="Обычный 3 4 5" xfId="87"/>
    <cellStyle name="Обычный 3 4 5 2" xfId="131"/>
    <cellStyle name="Обычный 3 5" xfId="16"/>
    <cellStyle name="Обычный 3 6" xfId="42"/>
    <cellStyle name="Обычный 3 6 2" xfId="61"/>
    <cellStyle name="Обычный 3 7" xfId="46"/>
    <cellStyle name="Обычный 3 7 2" xfId="65"/>
    <cellStyle name="Обычный 3 8" xfId="51"/>
    <cellStyle name="Обычный 3 8 2" xfId="70"/>
    <cellStyle name="Обычный 3 9" xfId="58"/>
    <cellStyle name="Обычный 3 9 2" xfId="125"/>
    <cellStyle name="Обычный 4" xfId="6"/>
    <cellStyle name="Обычный 4 2" xfId="32"/>
    <cellStyle name="Обычный 5" xfId="8"/>
    <cellStyle name="Обычный 5 2" xfId="17"/>
    <cellStyle name="Обычный 6" xfId="9"/>
    <cellStyle name="Обычный 6 2" xfId="18"/>
    <cellStyle name="Обычный 6 2 2" xfId="34"/>
    <cellStyle name="Обычный 6 3" xfId="25"/>
    <cellStyle name="Обычный 6 4" xfId="74"/>
    <cellStyle name="Обычный 6 5" xfId="85"/>
    <cellStyle name="Обычный 6 5 2" xfId="129"/>
    <cellStyle name="Обычный 7" xfId="14"/>
    <cellStyle name="Обычный 7 2" xfId="23"/>
    <cellStyle name="Обычный 7 2 2" xfId="39"/>
    <cellStyle name="Обычный 7 3" xfId="30"/>
    <cellStyle name="Обычный 7 4" xfId="79"/>
    <cellStyle name="Обычный 7 5" xfId="90"/>
    <cellStyle name="Обычный 7 5 2" xfId="134"/>
    <cellStyle name="Обычный 8" xfId="24"/>
    <cellStyle name="Обычный 9" xfId="40"/>
    <cellStyle name="Обычный 9 2" xfId="59"/>
  </cellStyles>
  <dxfs count="0"/>
  <tableStyles count="0" defaultTableStyle="TableStyleMedium2" defaultPivotStyle="PivotStyleLight16"/>
  <colors>
    <mruColors>
      <color rgb="FFD5D0B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561"/>
  <sheetViews>
    <sheetView topLeftCell="B1" zoomScale="90" zoomScaleNormal="90" workbookViewId="0">
      <pane ySplit="1" topLeftCell="A440" activePane="bottomLeft" state="frozen"/>
      <selection pane="bottomLeft" activeCell="M191" sqref="M191"/>
    </sheetView>
  </sheetViews>
  <sheetFormatPr defaultRowHeight="14.4" x14ac:dyDescent="0.3"/>
  <cols>
    <col min="1" max="1" width="4.88671875" customWidth="1"/>
    <col min="2" max="2" width="27.109375" customWidth="1"/>
    <col min="3" max="3" width="17.6640625" customWidth="1"/>
    <col min="4" max="4" width="20.44140625" customWidth="1"/>
    <col min="5" max="5" width="16" customWidth="1"/>
    <col min="6" max="6" width="18.109375" customWidth="1"/>
    <col min="7" max="7" width="23" style="6" customWidth="1"/>
    <col min="8" max="8" width="10.88671875" style="6" customWidth="1"/>
    <col min="11" max="11" width="12.44140625" customWidth="1"/>
    <col min="13" max="13" width="17.44140625" customWidth="1"/>
    <col min="14" max="14" width="18.109375" customWidth="1"/>
    <col min="15" max="15" width="41.5546875" customWidth="1"/>
    <col min="16" max="16" width="31.109375" customWidth="1"/>
  </cols>
  <sheetData>
    <row r="1" spans="1:16" s="7" customFormat="1" ht="121.5" customHeight="1" x14ac:dyDescent="0.3">
      <c r="A1" s="5" t="s">
        <v>1019</v>
      </c>
      <c r="B1" s="171" t="s">
        <v>1014</v>
      </c>
      <c r="C1" s="171" t="s">
        <v>1015</v>
      </c>
      <c r="D1" s="171" t="s">
        <v>1016</v>
      </c>
      <c r="E1" s="171" t="s">
        <v>1017</v>
      </c>
      <c r="F1" s="171" t="s">
        <v>1018</v>
      </c>
      <c r="G1" s="5" t="s">
        <v>1013</v>
      </c>
      <c r="H1" s="5" t="s">
        <v>1012</v>
      </c>
      <c r="I1" s="5" t="s">
        <v>1020</v>
      </c>
      <c r="J1" s="5" t="s">
        <v>1021</v>
      </c>
      <c r="K1" s="5" t="s">
        <v>1022</v>
      </c>
      <c r="L1" s="5" t="s">
        <v>1023</v>
      </c>
      <c r="M1" s="5" t="s">
        <v>1011</v>
      </c>
      <c r="N1" s="5" t="s">
        <v>1024</v>
      </c>
      <c r="O1" s="5" t="s">
        <v>1025</v>
      </c>
      <c r="P1" s="16"/>
    </row>
    <row r="2" spans="1:16" s="3" customFormat="1" ht="84" x14ac:dyDescent="0.25">
      <c r="A2" s="15">
        <v>1</v>
      </c>
      <c r="B2" s="155" t="s">
        <v>2</v>
      </c>
      <c r="C2" s="155" t="s">
        <v>0</v>
      </c>
      <c r="D2" s="155" t="s">
        <v>1028</v>
      </c>
      <c r="E2" s="155" t="s">
        <v>4</v>
      </c>
      <c r="F2" s="155">
        <v>45294</v>
      </c>
      <c r="G2" s="15" t="s">
        <v>5</v>
      </c>
      <c r="H2" s="13">
        <v>0</v>
      </c>
      <c r="I2" s="17">
        <v>2</v>
      </c>
      <c r="J2" s="18">
        <v>2</v>
      </c>
      <c r="K2" s="18">
        <v>48</v>
      </c>
      <c r="L2" s="18">
        <f>SUM(H2:K2)</f>
        <v>52</v>
      </c>
      <c r="M2" s="15" t="s">
        <v>7</v>
      </c>
      <c r="N2" s="15" t="s">
        <v>12</v>
      </c>
      <c r="O2" s="15" t="s">
        <v>1</v>
      </c>
      <c r="P2" s="16"/>
    </row>
    <row r="3" spans="1:16" s="33" customFormat="1" ht="60" x14ac:dyDescent="0.25">
      <c r="A3" s="258"/>
      <c r="B3" s="242" t="s">
        <v>2</v>
      </c>
      <c r="C3" s="242" t="s">
        <v>788</v>
      </c>
      <c r="D3" s="188" t="s">
        <v>1028</v>
      </c>
      <c r="E3" s="242" t="s">
        <v>4</v>
      </c>
      <c r="F3" s="242">
        <v>45296</v>
      </c>
      <c r="G3" s="258" t="s">
        <v>5</v>
      </c>
      <c r="H3" s="13">
        <v>4</v>
      </c>
      <c r="I3" s="17">
        <v>2</v>
      </c>
      <c r="J3" s="260">
        <v>6</v>
      </c>
      <c r="K3" s="260">
        <v>6</v>
      </c>
      <c r="L3" s="260">
        <v>18</v>
      </c>
      <c r="M3" s="207" t="s">
        <v>7</v>
      </c>
      <c r="N3" s="207" t="s">
        <v>12</v>
      </c>
      <c r="O3" s="258" t="s">
        <v>789</v>
      </c>
      <c r="P3" s="16"/>
    </row>
    <row r="4" spans="1:16" s="33" customFormat="1" ht="60" x14ac:dyDescent="0.25">
      <c r="A4" s="258"/>
      <c r="B4" s="242" t="s">
        <v>2</v>
      </c>
      <c r="C4" s="242" t="s">
        <v>790</v>
      </c>
      <c r="D4" s="188" t="s">
        <v>1028</v>
      </c>
      <c r="E4" s="242" t="s">
        <v>4</v>
      </c>
      <c r="F4" s="242">
        <v>45298</v>
      </c>
      <c r="G4" s="258" t="s">
        <v>5</v>
      </c>
      <c r="H4" s="13">
        <v>0</v>
      </c>
      <c r="I4" s="17">
        <v>0</v>
      </c>
      <c r="J4" s="260">
        <v>4</v>
      </c>
      <c r="K4" s="260">
        <v>9</v>
      </c>
      <c r="L4" s="260">
        <v>13</v>
      </c>
      <c r="M4" s="207" t="s">
        <v>7</v>
      </c>
      <c r="N4" s="207" t="s">
        <v>12</v>
      </c>
      <c r="O4" s="258" t="s">
        <v>791</v>
      </c>
      <c r="P4" s="16"/>
    </row>
    <row r="5" spans="1:16" s="33" customFormat="1" ht="72" x14ac:dyDescent="0.25">
      <c r="A5" s="25"/>
      <c r="B5" s="155" t="s">
        <v>3</v>
      </c>
      <c r="C5" s="155" t="s">
        <v>63</v>
      </c>
      <c r="D5" s="155" t="s">
        <v>1028</v>
      </c>
      <c r="E5" s="155" t="s">
        <v>4</v>
      </c>
      <c r="F5" s="155">
        <v>45298</v>
      </c>
      <c r="G5" s="25" t="s">
        <v>64</v>
      </c>
      <c r="H5" s="13">
        <v>1</v>
      </c>
      <c r="I5" s="17">
        <v>0</v>
      </c>
      <c r="J5" s="18">
        <v>20</v>
      </c>
      <c r="K5" s="18">
        <v>0</v>
      </c>
      <c r="L5" s="18">
        <f>SUM(H5:K5)</f>
        <v>21</v>
      </c>
      <c r="M5" s="38" t="s">
        <v>62</v>
      </c>
      <c r="N5" s="38" t="s">
        <v>12</v>
      </c>
      <c r="O5" s="25" t="s">
        <v>65</v>
      </c>
      <c r="P5" s="16"/>
    </row>
    <row r="6" spans="1:16" ht="36" x14ac:dyDescent="0.3">
      <c r="A6" s="1"/>
      <c r="B6" s="155" t="s">
        <v>2</v>
      </c>
      <c r="C6" s="155" t="s">
        <v>18</v>
      </c>
      <c r="D6" s="155" t="s">
        <v>1028</v>
      </c>
      <c r="E6" s="155" t="s">
        <v>4</v>
      </c>
      <c r="F6" s="155">
        <v>45299</v>
      </c>
      <c r="G6" s="2" t="s">
        <v>5</v>
      </c>
      <c r="H6" s="2">
        <v>2</v>
      </c>
      <c r="I6" s="2">
        <v>5</v>
      </c>
      <c r="J6" s="2">
        <v>6</v>
      </c>
      <c r="K6" s="2">
        <v>0</v>
      </c>
      <c r="L6" s="2">
        <f>SUM(H6:K6)</f>
        <v>13</v>
      </c>
      <c r="M6" s="2" t="s">
        <v>11</v>
      </c>
      <c r="N6" s="15" t="s">
        <v>12</v>
      </c>
      <c r="O6" s="2" t="s">
        <v>21</v>
      </c>
    </row>
    <row r="7" spans="1:16" ht="48" x14ac:dyDescent="0.3">
      <c r="A7" s="1"/>
      <c r="B7" s="155" t="s">
        <v>2</v>
      </c>
      <c r="C7" s="155" t="s">
        <v>19</v>
      </c>
      <c r="D7" s="155" t="s">
        <v>1028</v>
      </c>
      <c r="E7" s="155" t="s">
        <v>4</v>
      </c>
      <c r="F7" s="155">
        <v>45301</v>
      </c>
      <c r="G7" s="2" t="s">
        <v>5</v>
      </c>
      <c r="H7" s="2">
        <v>0</v>
      </c>
      <c r="I7" s="2">
        <v>1</v>
      </c>
      <c r="J7" s="2">
        <v>4</v>
      </c>
      <c r="K7" s="2">
        <v>0</v>
      </c>
      <c r="L7" s="2">
        <f>SUM(H7:K7)</f>
        <v>5</v>
      </c>
      <c r="M7" s="19" t="s">
        <v>11</v>
      </c>
      <c r="N7" s="15" t="s">
        <v>12</v>
      </c>
      <c r="O7" s="2" t="s">
        <v>20</v>
      </c>
    </row>
    <row r="8" spans="1:16" s="20" customFormat="1" ht="64.5" customHeight="1" x14ac:dyDescent="0.3">
      <c r="A8" s="21"/>
      <c r="B8" s="155" t="s">
        <v>2</v>
      </c>
      <c r="C8" s="155" t="s">
        <v>25</v>
      </c>
      <c r="D8" s="155" t="s">
        <v>1028</v>
      </c>
      <c r="E8" s="155" t="s">
        <v>4</v>
      </c>
      <c r="F8" s="155">
        <v>45306</v>
      </c>
      <c r="G8" s="22" t="s">
        <v>5</v>
      </c>
      <c r="H8" s="22">
        <v>0</v>
      </c>
      <c r="I8" s="22">
        <v>0</v>
      </c>
      <c r="J8" s="22">
        <v>6</v>
      </c>
      <c r="K8" s="22">
        <v>0</v>
      </c>
      <c r="L8" s="22">
        <v>6</v>
      </c>
      <c r="M8" s="22" t="s">
        <v>108</v>
      </c>
      <c r="N8" s="25" t="s">
        <v>12</v>
      </c>
      <c r="O8" s="22" t="s">
        <v>26</v>
      </c>
    </row>
    <row r="9" spans="1:16" s="20" customFormat="1" ht="48" x14ac:dyDescent="0.3">
      <c r="A9" s="21"/>
      <c r="B9" s="155" t="s">
        <v>2</v>
      </c>
      <c r="C9" s="155" t="s">
        <v>24</v>
      </c>
      <c r="D9" s="155" t="s">
        <v>1028</v>
      </c>
      <c r="E9" s="155" t="s">
        <v>4</v>
      </c>
      <c r="F9" s="155">
        <v>45308</v>
      </c>
      <c r="G9" s="2" t="s">
        <v>5</v>
      </c>
      <c r="H9" s="2">
        <v>0</v>
      </c>
      <c r="I9" s="2">
        <v>3</v>
      </c>
      <c r="J9" s="2">
        <v>3</v>
      </c>
      <c r="K9" s="2">
        <v>0</v>
      </c>
      <c r="L9" s="2">
        <f t="shared" ref="L9:L14" si="0">SUM(H9:K9)</f>
        <v>6</v>
      </c>
      <c r="M9" s="22" t="s">
        <v>11</v>
      </c>
      <c r="N9" s="15" t="s">
        <v>12</v>
      </c>
      <c r="O9" s="2" t="s">
        <v>53</v>
      </c>
    </row>
    <row r="10" spans="1:16" ht="36" x14ac:dyDescent="0.3">
      <c r="A10" s="1"/>
      <c r="B10" s="155" t="s">
        <v>3</v>
      </c>
      <c r="C10" s="155" t="s">
        <v>22</v>
      </c>
      <c r="D10" s="155" t="s">
        <v>1028</v>
      </c>
      <c r="E10" s="155" t="s">
        <v>4</v>
      </c>
      <c r="F10" s="155">
        <v>45309</v>
      </c>
      <c r="G10" s="38" t="s">
        <v>80</v>
      </c>
      <c r="H10" s="2">
        <v>0</v>
      </c>
      <c r="I10" s="2">
        <v>1</v>
      </c>
      <c r="J10" s="2">
        <v>7</v>
      </c>
      <c r="K10" s="2">
        <v>8</v>
      </c>
      <c r="L10" s="2">
        <f t="shared" si="0"/>
        <v>16</v>
      </c>
      <c r="M10" s="38" t="s">
        <v>82</v>
      </c>
      <c r="N10" s="15" t="s">
        <v>12</v>
      </c>
      <c r="O10" s="2" t="s">
        <v>23</v>
      </c>
    </row>
    <row r="11" spans="1:16" s="20" customFormat="1" ht="36" x14ac:dyDescent="0.3">
      <c r="A11" s="21"/>
      <c r="B11" s="155" t="s">
        <v>2</v>
      </c>
      <c r="C11" s="155" t="s">
        <v>50</v>
      </c>
      <c r="D11" s="155" t="s">
        <v>1028</v>
      </c>
      <c r="E11" s="155" t="s">
        <v>4</v>
      </c>
      <c r="F11" s="155">
        <v>45309</v>
      </c>
      <c r="G11" s="24" t="s">
        <v>5</v>
      </c>
      <c r="H11" s="24">
        <v>0</v>
      </c>
      <c r="I11" s="24">
        <v>4</v>
      </c>
      <c r="J11" s="24">
        <v>0</v>
      </c>
      <c r="K11" s="24">
        <v>0</v>
      </c>
      <c r="L11" s="24">
        <f t="shared" si="0"/>
        <v>4</v>
      </c>
      <c r="M11" s="24" t="s">
        <v>11</v>
      </c>
      <c r="N11" s="25" t="s">
        <v>12</v>
      </c>
      <c r="O11" s="24" t="s">
        <v>52</v>
      </c>
    </row>
    <row r="12" spans="1:16" s="20" customFormat="1" ht="48" x14ac:dyDescent="0.3">
      <c r="A12" s="21"/>
      <c r="B12" s="155" t="s">
        <v>2</v>
      </c>
      <c r="C12" s="155" t="s">
        <v>19</v>
      </c>
      <c r="D12" s="155" t="s">
        <v>1028</v>
      </c>
      <c r="E12" s="155" t="s">
        <v>4</v>
      </c>
      <c r="F12" s="155">
        <v>45310</v>
      </c>
      <c r="G12" s="24" t="s">
        <v>5</v>
      </c>
      <c r="H12" s="24">
        <v>0</v>
      </c>
      <c r="I12" s="24">
        <v>0</v>
      </c>
      <c r="J12" s="24">
        <v>5</v>
      </c>
      <c r="K12" s="24">
        <v>0</v>
      </c>
      <c r="L12" s="24">
        <f t="shared" si="0"/>
        <v>5</v>
      </c>
      <c r="M12" s="28" t="s">
        <v>11</v>
      </c>
      <c r="N12" s="25" t="s">
        <v>12</v>
      </c>
      <c r="O12" s="24" t="s">
        <v>54</v>
      </c>
    </row>
    <row r="13" spans="1:16" s="20" customFormat="1" ht="36" x14ac:dyDescent="0.3">
      <c r="A13" s="21"/>
      <c r="B13" s="24" t="s">
        <v>2</v>
      </c>
      <c r="C13" s="24" t="s">
        <v>50</v>
      </c>
      <c r="D13" s="28" t="s">
        <v>1028</v>
      </c>
      <c r="E13" s="24" t="s">
        <v>4</v>
      </c>
      <c r="F13" s="23">
        <v>45310</v>
      </c>
      <c r="G13" s="24" t="s">
        <v>5</v>
      </c>
      <c r="H13" s="24">
        <v>0</v>
      </c>
      <c r="I13" s="24">
        <v>4</v>
      </c>
      <c r="J13" s="24">
        <v>0</v>
      </c>
      <c r="K13" s="24">
        <v>0</v>
      </c>
      <c r="L13" s="24">
        <f t="shared" si="0"/>
        <v>4</v>
      </c>
      <c r="M13" s="28" t="s">
        <v>11</v>
      </c>
      <c r="N13" s="25" t="s">
        <v>12</v>
      </c>
      <c r="O13" s="28" t="s">
        <v>52</v>
      </c>
    </row>
    <row r="14" spans="1:16" s="20" customFormat="1" ht="48" x14ac:dyDescent="0.3">
      <c r="A14" s="21"/>
      <c r="B14" s="24" t="s">
        <v>2</v>
      </c>
      <c r="C14" s="24" t="s">
        <v>51</v>
      </c>
      <c r="D14" s="28" t="s">
        <v>1028</v>
      </c>
      <c r="E14" s="24" t="s">
        <v>4</v>
      </c>
      <c r="F14" s="23">
        <v>45310</v>
      </c>
      <c r="G14" s="24" t="s">
        <v>5</v>
      </c>
      <c r="H14" s="24">
        <v>0</v>
      </c>
      <c r="I14" s="24">
        <v>1</v>
      </c>
      <c r="J14" s="24">
        <v>3</v>
      </c>
      <c r="K14" s="24">
        <v>0</v>
      </c>
      <c r="L14" s="24">
        <f t="shared" si="0"/>
        <v>4</v>
      </c>
      <c r="M14" s="28" t="s">
        <v>11</v>
      </c>
      <c r="N14" s="25" t="s">
        <v>12</v>
      </c>
      <c r="O14" s="24" t="s">
        <v>55</v>
      </c>
    </row>
    <row r="15" spans="1:16" s="257" customFormat="1" ht="48" x14ac:dyDescent="0.3">
      <c r="A15" s="243"/>
      <c r="B15" s="240" t="s">
        <v>175</v>
      </c>
      <c r="C15" s="240" t="s">
        <v>595</v>
      </c>
      <c r="D15" s="202" t="s">
        <v>1028</v>
      </c>
      <c r="E15" s="240" t="s">
        <v>4</v>
      </c>
      <c r="F15" s="242">
        <v>45311</v>
      </c>
      <c r="G15" s="240" t="s">
        <v>92</v>
      </c>
      <c r="H15" s="240">
        <v>0</v>
      </c>
      <c r="I15" s="240">
        <v>1</v>
      </c>
      <c r="J15" s="240">
        <v>11</v>
      </c>
      <c r="K15" s="240">
        <v>8</v>
      </c>
      <c r="L15" s="240">
        <v>20</v>
      </c>
      <c r="M15" s="202" t="s">
        <v>11</v>
      </c>
      <c r="N15" s="207" t="s">
        <v>12</v>
      </c>
      <c r="O15" s="240" t="s">
        <v>792</v>
      </c>
    </row>
    <row r="16" spans="1:16" s="257" customFormat="1" ht="48" x14ac:dyDescent="0.3">
      <c r="A16" s="243"/>
      <c r="B16" s="240" t="s">
        <v>175</v>
      </c>
      <c r="C16" s="240" t="s">
        <v>595</v>
      </c>
      <c r="D16" s="202" t="s">
        <v>1028</v>
      </c>
      <c r="E16" s="240" t="s">
        <v>4</v>
      </c>
      <c r="F16" s="242">
        <v>45311</v>
      </c>
      <c r="G16" s="240" t="s">
        <v>92</v>
      </c>
      <c r="H16" s="240">
        <v>0</v>
      </c>
      <c r="I16" s="240">
        <v>1</v>
      </c>
      <c r="J16" s="240">
        <v>11</v>
      </c>
      <c r="K16" s="240">
        <v>8</v>
      </c>
      <c r="L16" s="240">
        <v>20</v>
      </c>
      <c r="M16" s="240" t="s">
        <v>7</v>
      </c>
      <c r="N16" s="207" t="s">
        <v>12</v>
      </c>
      <c r="O16" s="240" t="s">
        <v>792</v>
      </c>
    </row>
    <row r="17" spans="1:15" s="36" customFormat="1" ht="84" x14ac:dyDescent="0.3">
      <c r="A17" s="37"/>
      <c r="B17" s="38" t="s">
        <v>3</v>
      </c>
      <c r="C17" s="38" t="s">
        <v>63</v>
      </c>
      <c r="D17" s="38" t="s">
        <v>1028</v>
      </c>
      <c r="E17" s="38" t="s">
        <v>4</v>
      </c>
      <c r="F17" s="39" t="s">
        <v>66</v>
      </c>
      <c r="G17" s="38" t="s">
        <v>64</v>
      </c>
      <c r="H17" s="38">
        <v>1</v>
      </c>
      <c r="I17" s="38">
        <v>0</v>
      </c>
      <c r="J17" s="38">
        <v>20</v>
      </c>
      <c r="K17" s="38">
        <v>0</v>
      </c>
      <c r="L17" s="38">
        <f>SUM(H17:K17)</f>
        <v>21</v>
      </c>
      <c r="M17" s="35" t="s">
        <v>62</v>
      </c>
      <c r="N17" s="35" t="s">
        <v>12</v>
      </c>
      <c r="O17" s="38" t="s">
        <v>67</v>
      </c>
    </row>
    <row r="18" spans="1:15" s="26" customFormat="1" ht="84" x14ac:dyDescent="0.3">
      <c r="A18" s="27"/>
      <c r="B18" s="28" t="s">
        <v>2</v>
      </c>
      <c r="C18" s="28" t="s">
        <v>56</v>
      </c>
      <c r="D18" s="32" t="s">
        <v>1028</v>
      </c>
      <c r="E18" s="28" t="s">
        <v>4</v>
      </c>
      <c r="F18" s="29">
        <v>45314</v>
      </c>
      <c r="G18" s="28" t="s">
        <v>5</v>
      </c>
      <c r="H18" s="28">
        <v>0</v>
      </c>
      <c r="I18" s="28">
        <v>4</v>
      </c>
      <c r="J18" s="28">
        <v>6</v>
      </c>
      <c r="K18" s="28">
        <v>0</v>
      </c>
      <c r="L18" s="28">
        <v>10</v>
      </c>
      <c r="M18" s="32" t="s">
        <v>11</v>
      </c>
      <c r="N18" s="25" t="s">
        <v>12</v>
      </c>
      <c r="O18" s="28" t="s">
        <v>57</v>
      </c>
    </row>
    <row r="19" spans="1:15" s="30" customFormat="1" ht="36" x14ac:dyDescent="0.3">
      <c r="A19" s="31"/>
      <c r="B19" s="154" t="s">
        <v>297</v>
      </c>
      <c r="C19" s="32" t="s">
        <v>61</v>
      </c>
      <c r="D19" s="32" t="s">
        <v>84</v>
      </c>
      <c r="E19" s="32" t="s">
        <v>4</v>
      </c>
      <c r="F19" s="34">
        <v>45315</v>
      </c>
      <c r="G19" s="32" t="s">
        <v>58</v>
      </c>
      <c r="H19" s="32">
        <v>0</v>
      </c>
      <c r="I19" s="32">
        <v>0</v>
      </c>
      <c r="J19" s="32">
        <v>4</v>
      </c>
      <c r="K19" s="32">
        <v>0</v>
      </c>
      <c r="L19" s="32">
        <v>4</v>
      </c>
      <c r="M19" s="32" t="s">
        <v>10</v>
      </c>
      <c r="N19" s="25" t="s">
        <v>31</v>
      </c>
      <c r="O19" s="32" t="s">
        <v>59</v>
      </c>
    </row>
    <row r="20" spans="1:15" ht="209.25" customHeight="1" x14ac:dyDescent="0.3">
      <c r="A20" s="1"/>
      <c r="B20" s="24" t="s">
        <v>27</v>
      </c>
      <c r="C20" s="24" t="s">
        <v>28</v>
      </c>
      <c r="D20" s="24" t="s">
        <v>29</v>
      </c>
      <c r="E20" s="24" t="s">
        <v>4</v>
      </c>
      <c r="F20" s="23">
        <v>45316</v>
      </c>
      <c r="G20" s="24" t="s">
        <v>30</v>
      </c>
      <c r="H20" s="24">
        <v>157</v>
      </c>
      <c r="I20" s="24">
        <v>8</v>
      </c>
      <c r="J20" s="24">
        <v>53</v>
      </c>
      <c r="K20" s="24">
        <v>8</v>
      </c>
      <c r="L20" s="24">
        <f t="shared" ref="L20:L26" si="1">SUM(H20:K20)</f>
        <v>226</v>
      </c>
      <c r="M20" s="24" t="s">
        <v>6</v>
      </c>
      <c r="N20" s="24" t="s">
        <v>34</v>
      </c>
      <c r="O20" s="24" t="s">
        <v>35</v>
      </c>
    </row>
    <row r="21" spans="1:15" ht="181.5" customHeight="1" x14ac:dyDescent="0.3">
      <c r="A21" s="1"/>
      <c r="B21" s="24" t="s">
        <v>32</v>
      </c>
      <c r="C21" s="24" t="s">
        <v>36</v>
      </c>
      <c r="D21" s="24" t="s">
        <v>1028</v>
      </c>
      <c r="E21" s="24" t="s">
        <v>4</v>
      </c>
      <c r="F21" s="23">
        <v>45316</v>
      </c>
      <c r="G21" s="24" t="s">
        <v>88</v>
      </c>
      <c r="H21" s="24">
        <v>8</v>
      </c>
      <c r="I21" s="24">
        <v>74</v>
      </c>
      <c r="J21" s="24">
        <v>92</v>
      </c>
      <c r="K21" s="24">
        <v>11</v>
      </c>
      <c r="L21" s="24">
        <f t="shared" si="1"/>
        <v>185</v>
      </c>
      <c r="M21" s="24" t="s">
        <v>33</v>
      </c>
      <c r="N21" s="24" t="s">
        <v>12</v>
      </c>
      <c r="O21" s="24" t="s">
        <v>37</v>
      </c>
    </row>
    <row r="22" spans="1:15" ht="168" x14ac:dyDescent="0.3">
      <c r="A22" s="1"/>
      <c r="B22" s="24" t="s">
        <v>32</v>
      </c>
      <c r="C22" s="24" t="s">
        <v>38</v>
      </c>
      <c r="D22" s="24" t="s">
        <v>1028</v>
      </c>
      <c r="E22" s="24" t="s">
        <v>4</v>
      </c>
      <c r="F22" s="23">
        <v>45316</v>
      </c>
      <c r="G22" s="24" t="s">
        <v>88</v>
      </c>
      <c r="H22" s="24">
        <v>8</v>
      </c>
      <c r="I22" s="24">
        <v>74</v>
      </c>
      <c r="J22" s="24">
        <v>92</v>
      </c>
      <c r="K22" s="24">
        <v>11</v>
      </c>
      <c r="L22" s="24">
        <f t="shared" si="1"/>
        <v>185</v>
      </c>
      <c r="M22" s="24" t="s">
        <v>33</v>
      </c>
      <c r="N22" s="24" t="s">
        <v>12</v>
      </c>
      <c r="O22" s="24" t="s">
        <v>39</v>
      </c>
    </row>
    <row r="23" spans="1:15" ht="120.75" customHeight="1" x14ac:dyDescent="0.3">
      <c r="A23" s="1"/>
      <c r="B23" s="24" t="s">
        <v>32</v>
      </c>
      <c r="C23" s="24" t="s">
        <v>40</v>
      </c>
      <c r="D23" s="24" t="s">
        <v>1028</v>
      </c>
      <c r="E23" s="24" t="s">
        <v>4</v>
      </c>
      <c r="F23" s="23">
        <v>45316</v>
      </c>
      <c r="G23" s="24" t="s">
        <v>88</v>
      </c>
      <c r="H23" s="24">
        <v>8</v>
      </c>
      <c r="I23" s="24">
        <v>74</v>
      </c>
      <c r="J23" s="24">
        <v>92</v>
      </c>
      <c r="K23" s="24">
        <v>11</v>
      </c>
      <c r="L23" s="24">
        <f t="shared" si="1"/>
        <v>185</v>
      </c>
      <c r="M23" s="24" t="s">
        <v>33</v>
      </c>
      <c r="N23" s="24" t="s">
        <v>12</v>
      </c>
      <c r="O23" s="24" t="s">
        <v>41</v>
      </c>
    </row>
    <row r="24" spans="1:15" ht="198.75" customHeight="1" x14ac:dyDescent="0.3">
      <c r="A24" s="1"/>
      <c r="B24" s="24" t="s">
        <v>27</v>
      </c>
      <c r="C24" s="24" t="s">
        <v>42</v>
      </c>
      <c r="D24" s="24" t="s">
        <v>1028</v>
      </c>
      <c r="E24" s="24" t="s">
        <v>4</v>
      </c>
      <c r="F24" s="23">
        <v>45316</v>
      </c>
      <c r="G24" s="24" t="s">
        <v>87</v>
      </c>
      <c r="H24" s="24">
        <v>6</v>
      </c>
      <c r="I24" s="24">
        <v>5</v>
      </c>
      <c r="J24" s="24">
        <v>31</v>
      </c>
      <c r="K24" s="24">
        <v>0</v>
      </c>
      <c r="L24" s="24">
        <f t="shared" si="1"/>
        <v>42</v>
      </c>
      <c r="M24" s="24" t="s">
        <v>6</v>
      </c>
      <c r="N24" s="24" t="s">
        <v>12</v>
      </c>
      <c r="O24" s="24" t="s">
        <v>43</v>
      </c>
    </row>
    <row r="25" spans="1:15" s="41" customFormat="1" ht="60" x14ac:dyDescent="0.3">
      <c r="A25" s="37"/>
      <c r="B25" s="154" t="s">
        <v>297</v>
      </c>
      <c r="C25" s="38" t="s">
        <v>78</v>
      </c>
      <c r="D25" s="38" t="s">
        <v>1028</v>
      </c>
      <c r="E25" s="38" t="s">
        <v>4</v>
      </c>
      <c r="F25" s="39">
        <v>45316</v>
      </c>
      <c r="G25" s="38" t="s">
        <v>5</v>
      </c>
      <c r="H25" s="38">
        <v>0</v>
      </c>
      <c r="I25" s="38">
        <v>3</v>
      </c>
      <c r="J25" s="38">
        <v>18</v>
      </c>
      <c r="K25" s="38">
        <v>0</v>
      </c>
      <c r="L25" s="38">
        <f t="shared" si="1"/>
        <v>21</v>
      </c>
      <c r="M25" s="40" t="s">
        <v>10</v>
      </c>
      <c r="N25" s="38" t="s">
        <v>34</v>
      </c>
      <c r="O25" s="38" t="s">
        <v>89</v>
      </c>
    </row>
    <row r="26" spans="1:15" ht="72" x14ac:dyDescent="0.3">
      <c r="A26" s="1"/>
      <c r="B26" s="2" t="s">
        <v>3</v>
      </c>
      <c r="C26" s="2" t="s">
        <v>45</v>
      </c>
      <c r="D26" s="24" t="s">
        <v>1028</v>
      </c>
      <c r="E26" s="24" t="s">
        <v>4</v>
      </c>
      <c r="F26" s="4" t="s">
        <v>44</v>
      </c>
      <c r="G26" s="2" t="s">
        <v>318</v>
      </c>
      <c r="H26" s="2">
        <v>2</v>
      </c>
      <c r="I26" s="2">
        <v>0</v>
      </c>
      <c r="J26" s="2">
        <v>5</v>
      </c>
      <c r="K26" s="2">
        <v>50</v>
      </c>
      <c r="L26" s="2">
        <f t="shared" si="1"/>
        <v>57</v>
      </c>
      <c r="M26" s="24" t="s">
        <v>46</v>
      </c>
      <c r="N26" s="24" t="s">
        <v>12</v>
      </c>
      <c r="O26" s="2" t="s">
        <v>47</v>
      </c>
    </row>
    <row r="27" spans="1:15" s="41" customFormat="1" ht="60" x14ac:dyDescent="0.3">
      <c r="A27" s="37"/>
      <c r="B27" s="38" t="s">
        <v>2</v>
      </c>
      <c r="C27" s="38" t="s">
        <v>74</v>
      </c>
      <c r="D27" s="38" t="s">
        <v>1028</v>
      </c>
      <c r="E27" s="38" t="s">
        <v>4</v>
      </c>
      <c r="F27" s="39">
        <v>45317</v>
      </c>
      <c r="G27" s="38" t="s">
        <v>5</v>
      </c>
      <c r="H27" s="38">
        <v>0</v>
      </c>
      <c r="I27" s="38">
        <v>5</v>
      </c>
      <c r="J27" s="38">
        <v>8</v>
      </c>
      <c r="K27" s="38">
        <v>0</v>
      </c>
      <c r="L27" s="38">
        <v>13</v>
      </c>
      <c r="M27" s="38" t="s">
        <v>11</v>
      </c>
      <c r="N27" s="38" t="s">
        <v>12</v>
      </c>
      <c r="O27" s="38" t="s">
        <v>706</v>
      </c>
    </row>
    <row r="28" spans="1:15" s="41" customFormat="1" ht="60" x14ac:dyDescent="0.3">
      <c r="A28" s="37"/>
      <c r="B28" s="38" t="s">
        <v>2</v>
      </c>
      <c r="C28" s="38" t="s">
        <v>75</v>
      </c>
      <c r="D28" s="38" t="s">
        <v>1028</v>
      </c>
      <c r="E28" s="38" t="s">
        <v>4</v>
      </c>
      <c r="F28" s="39">
        <v>45318</v>
      </c>
      <c r="G28" s="38" t="s">
        <v>5</v>
      </c>
      <c r="H28" s="38">
        <v>0</v>
      </c>
      <c r="I28" s="38">
        <v>4</v>
      </c>
      <c r="J28" s="38">
        <v>3</v>
      </c>
      <c r="K28" s="38">
        <v>0</v>
      </c>
      <c r="L28" s="38">
        <v>7</v>
      </c>
      <c r="M28" s="38" t="s">
        <v>11</v>
      </c>
      <c r="N28" s="38" t="s">
        <v>12</v>
      </c>
      <c r="O28" s="38" t="s">
        <v>707</v>
      </c>
    </row>
    <row r="29" spans="1:15" ht="48" x14ac:dyDescent="0.3">
      <c r="A29" s="1"/>
      <c r="B29" s="2" t="s">
        <v>2</v>
      </c>
      <c r="C29" s="2" t="s">
        <v>48</v>
      </c>
      <c r="D29" s="24" t="s">
        <v>1028</v>
      </c>
      <c r="E29" s="24" t="s">
        <v>4</v>
      </c>
      <c r="F29" s="4">
        <v>45320</v>
      </c>
      <c r="G29" s="24" t="s">
        <v>5</v>
      </c>
      <c r="H29" s="2">
        <v>2</v>
      </c>
      <c r="I29" s="2">
        <v>3</v>
      </c>
      <c r="J29" s="2">
        <v>24</v>
      </c>
      <c r="K29" s="2">
        <v>3</v>
      </c>
      <c r="L29" s="2">
        <f>SUM(H29:K29)</f>
        <v>32</v>
      </c>
      <c r="M29" s="2" t="s">
        <v>49</v>
      </c>
      <c r="N29" s="24" t="s">
        <v>12</v>
      </c>
      <c r="O29" s="2" t="s">
        <v>73</v>
      </c>
    </row>
    <row r="30" spans="1:15" ht="84" x14ac:dyDescent="0.3">
      <c r="A30" s="1"/>
      <c r="B30" s="2" t="s">
        <v>3</v>
      </c>
      <c r="C30" s="2" t="s">
        <v>69</v>
      </c>
      <c r="D30" s="38" t="s">
        <v>1028</v>
      </c>
      <c r="E30" s="2" t="s">
        <v>4</v>
      </c>
      <c r="F30" s="4">
        <v>45320</v>
      </c>
      <c r="G30" s="2" t="s">
        <v>68</v>
      </c>
      <c r="H30" s="2">
        <v>0</v>
      </c>
      <c r="I30" s="2">
        <v>28</v>
      </c>
      <c r="J30" s="2">
        <v>43</v>
      </c>
      <c r="K30" s="2">
        <v>0</v>
      </c>
      <c r="L30" s="2">
        <f>SUM(H30:K30)</f>
        <v>71</v>
      </c>
      <c r="M30" s="2" t="s">
        <v>33</v>
      </c>
      <c r="N30" s="2" t="s">
        <v>12</v>
      </c>
      <c r="O30" s="2" t="s">
        <v>70</v>
      </c>
    </row>
    <row r="31" spans="1:15" s="42" customFormat="1" ht="36" x14ac:dyDescent="0.3">
      <c r="A31" s="37"/>
      <c r="B31" s="38" t="s">
        <v>3</v>
      </c>
      <c r="C31" s="38" t="s">
        <v>79</v>
      </c>
      <c r="D31" s="38" t="s">
        <v>1028</v>
      </c>
      <c r="E31" s="38" t="s">
        <v>4</v>
      </c>
      <c r="F31" s="39">
        <v>45320</v>
      </c>
      <c r="G31" s="38" t="s">
        <v>80</v>
      </c>
      <c r="H31" s="38">
        <v>0</v>
      </c>
      <c r="I31" s="38"/>
      <c r="J31" s="38">
        <v>5</v>
      </c>
      <c r="K31" s="38">
        <v>5</v>
      </c>
      <c r="L31" s="38">
        <f>SUM(H31:K31)</f>
        <v>10</v>
      </c>
      <c r="M31" s="38" t="s">
        <v>82</v>
      </c>
      <c r="N31" s="38" t="s">
        <v>12</v>
      </c>
      <c r="O31" s="38" t="s">
        <v>81</v>
      </c>
    </row>
    <row r="32" spans="1:15" s="42" customFormat="1" ht="36" x14ac:dyDescent="0.3">
      <c r="A32" s="37"/>
      <c r="B32" s="38" t="s">
        <v>3</v>
      </c>
      <c r="C32" s="38" t="s">
        <v>83</v>
      </c>
      <c r="D32" s="38" t="s">
        <v>84</v>
      </c>
      <c r="E32" s="38" t="s">
        <v>4</v>
      </c>
      <c r="F32" s="39">
        <v>45320</v>
      </c>
      <c r="G32" s="38" t="s">
        <v>85</v>
      </c>
      <c r="H32" s="38">
        <v>35</v>
      </c>
      <c r="I32" s="38">
        <v>0</v>
      </c>
      <c r="J32" s="38">
        <v>5</v>
      </c>
      <c r="K32" s="38">
        <v>5</v>
      </c>
      <c r="L32" s="38">
        <f>SUM(H32:K32)</f>
        <v>45</v>
      </c>
      <c r="M32" s="38" t="s">
        <v>86</v>
      </c>
      <c r="N32" s="38" t="s">
        <v>31</v>
      </c>
      <c r="O32" s="38" t="s">
        <v>90</v>
      </c>
    </row>
    <row r="33" spans="1:15" s="206" customFormat="1" ht="60" x14ac:dyDescent="0.3">
      <c r="A33" s="211"/>
      <c r="B33" s="212" t="s">
        <v>2</v>
      </c>
      <c r="C33" s="212" t="s">
        <v>535</v>
      </c>
      <c r="D33" s="202" t="s">
        <v>1028</v>
      </c>
      <c r="E33" s="212" t="s">
        <v>16</v>
      </c>
      <c r="F33" s="213">
        <v>45320</v>
      </c>
      <c r="G33" s="212" t="s">
        <v>240</v>
      </c>
      <c r="H33" s="212">
        <v>0</v>
      </c>
      <c r="I33" s="212">
        <v>3</v>
      </c>
      <c r="J33" s="212">
        <v>14</v>
      </c>
      <c r="K33" s="212">
        <v>0</v>
      </c>
      <c r="L33" s="212">
        <v>17</v>
      </c>
      <c r="M33" s="212" t="s">
        <v>528</v>
      </c>
      <c r="N33" s="202" t="s">
        <v>12</v>
      </c>
      <c r="O33" s="212" t="s">
        <v>536</v>
      </c>
    </row>
    <row r="34" spans="1:15" s="257" customFormat="1" ht="24" x14ac:dyDescent="0.3">
      <c r="A34" s="243"/>
      <c r="B34" s="240" t="s">
        <v>2</v>
      </c>
      <c r="C34" s="240" t="s">
        <v>131</v>
      </c>
      <c r="D34" s="202" t="s">
        <v>1028</v>
      </c>
      <c r="E34" s="240" t="s">
        <v>4</v>
      </c>
      <c r="F34" s="242">
        <v>45320</v>
      </c>
      <c r="G34" s="240" t="s">
        <v>5</v>
      </c>
      <c r="H34" s="240">
        <v>0</v>
      </c>
      <c r="I34" s="240">
        <v>6</v>
      </c>
      <c r="J34" s="240">
        <v>3</v>
      </c>
      <c r="K34" s="240">
        <v>0</v>
      </c>
      <c r="L34" s="240">
        <v>9</v>
      </c>
      <c r="M34" s="240" t="str">
        <f>$M$35</f>
        <v>Клуб настольных игр КБГУ</v>
      </c>
      <c r="N34" s="202" t="s">
        <v>12</v>
      </c>
      <c r="O34" s="240" t="s">
        <v>834</v>
      </c>
    </row>
    <row r="35" spans="1:15" s="41" customFormat="1" ht="48" x14ac:dyDescent="0.3">
      <c r="A35" s="37"/>
      <c r="B35" s="38" t="s">
        <v>2</v>
      </c>
      <c r="C35" s="38" t="s">
        <v>76</v>
      </c>
      <c r="D35" s="38" t="s">
        <v>1028</v>
      </c>
      <c r="E35" s="44" t="s">
        <v>4</v>
      </c>
      <c r="F35" s="39">
        <v>45321</v>
      </c>
      <c r="G35" s="38" t="s">
        <v>5</v>
      </c>
      <c r="H35" s="38">
        <v>0</v>
      </c>
      <c r="I35" s="38">
        <v>4</v>
      </c>
      <c r="J35" s="38">
        <v>0</v>
      </c>
      <c r="K35" s="38">
        <v>0</v>
      </c>
      <c r="L35" s="38">
        <v>4</v>
      </c>
      <c r="M35" s="38" t="s">
        <v>11</v>
      </c>
      <c r="N35" s="38" t="s">
        <v>12</v>
      </c>
      <c r="O35" s="38" t="s">
        <v>708</v>
      </c>
    </row>
    <row r="36" spans="1:15" s="41" customFormat="1" ht="36" x14ac:dyDescent="0.3">
      <c r="A36" s="37"/>
      <c r="B36" s="38" t="s">
        <v>2</v>
      </c>
      <c r="C36" s="38" t="s">
        <v>77</v>
      </c>
      <c r="D36" s="38" t="s">
        <v>1028</v>
      </c>
      <c r="E36" s="44" t="s">
        <v>4</v>
      </c>
      <c r="F36" s="39">
        <v>45322</v>
      </c>
      <c r="G36" s="38" t="s">
        <v>5</v>
      </c>
      <c r="H36" s="38">
        <v>1</v>
      </c>
      <c r="I36" s="38">
        <v>3</v>
      </c>
      <c r="J36" s="38">
        <v>0</v>
      </c>
      <c r="K36" s="38">
        <v>0</v>
      </c>
      <c r="L36" s="38">
        <v>4</v>
      </c>
      <c r="M36" s="38" t="s">
        <v>11</v>
      </c>
      <c r="N36" s="38" t="s">
        <v>12</v>
      </c>
      <c r="O36" s="38" t="s">
        <v>709</v>
      </c>
    </row>
    <row r="37" spans="1:15" ht="60" x14ac:dyDescent="0.3">
      <c r="A37" s="1"/>
      <c r="B37" s="2" t="s">
        <v>32</v>
      </c>
      <c r="C37" s="2" t="s">
        <v>71</v>
      </c>
      <c r="D37" s="38" t="s">
        <v>1028</v>
      </c>
      <c r="E37" s="44" t="s">
        <v>4</v>
      </c>
      <c r="F37" s="4">
        <v>45323</v>
      </c>
      <c r="G37" s="2" t="s">
        <v>30</v>
      </c>
      <c r="H37" s="2">
        <v>0</v>
      </c>
      <c r="I37" s="2">
        <v>15</v>
      </c>
      <c r="J37" s="2">
        <v>16</v>
      </c>
      <c r="K37" s="2">
        <v>0</v>
      </c>
      <c r="L37" s="2">
        <f>SUM(H37:K37)</f>
        <v>31</v>
      </c>
      <c r="M37" s="2" t="s">
        <v>72</v>
      </c>
      <c r="N37" s="2" t="s">
        <v>12</v>
      </c>
      <c r="O37" s="2" t="s">
        <v>94</v>
      </c>
    </row>
    <row r="38" spans="1:15" s="257" customFormat="1" ht="36" x14ac:dyDescent="0.3">
      <c r="A38" s="243"/>
      <c r="B38" s="240" t="s">
        <v>175</v>
      </c>
      <c r="C38" s="240" t="s">
        <v>231</v>
      </c>
      <c r="D38" s="202" t="s">
        <v>1028</v>
      </c>
      <c r="E38" s="240" t="s">
        <v>4</v>
      </c>
      <c r="F38" s="242">
        <v>45324</v>
      </c>
      <c r="G38" s="240" t="s">
        <v>92</v>
      </c>
      <c r="H38" s="240">
        <v>0</v>
      </c>
      <c r="I38" s="240">
        <v>2</v>
      </c>
      <c r="J38" s="240">
        <v>2</v>
      </c>
      <c r="K38" s="240">
        <v>8</v>
      </c>
      <c r="L38" s="240">
        <v>12</v>
      </c>
      <c r="M38" s="240" t="s">
        <v>7</v>
      </c>
      <c r="N38" s="202" t="s">
        <v>12</v>
      </c>
      <c r="O38" s="240" t="s">
        <v>793</v>
      </c>
    </row>
    <row r="39" spans="1:15" ht="60" x14ac:dyDescent="0.3">
      <c r="A39" s="1"/>
      <c r="B39" s="2" t="s">
        <v>2</v>
      </c>
      <c r="C39" s="2" t="s">
        <v>91</v>
      </c>
      <c r="D39" s="38" t="s">
        <v>1028</v>
      </c>
      <c r="E39" s="44" t="s">
        <v>4</v>
      </c>
      <c r="F39" s="4">
        <v>45324</v>
      </c>
      <c r="G39" s="2" t="s">
        <v>92</v>
      </c>
      <c r="H39" s="2">
        <v>0</v>
      </c>
      <c r="I39" s="2">
        <v>5</v>
      </c>
      <c r="J39" s="2">
        <v>3</v>
      </c>
      <c r="K39" s="2">
        <v>9</v>
      </c>
      <c r="L39" s="2">
        <f>SUM(H39:K39)</f>
        <v>17</v>
      </c>
      <c r="M39" s="38" t="s">
        <v>96</v>
      </c>
      <c r="N39" s="38" t="s">
        <v>12</v>
      </c>
      <c r="O39" s="2" t="s">
        <v>95</v>
      </c>
    </row>
    <row r="40" spans="1:15" s="42" customFormat="1" ht="72" x14ac:dyDescent="0.3">
      <c r="A40" s="37"/>
      <c r="B40" s="38" t="s">
        <v>1027</v>
      </c>
      <c r="C40" s="38" t="s">
        <v>97</v>
      </c>
      <c r="D40" s="38" t="s">
        <v>1028</v>
      </c>
      <c r="E40" s="44" t="s">
        <v>4</v>
      </c>
      <c r="F40" s="9">
        <v>45324</v>
      </c>
      <c r="G40" s="38" t="s">
        <v>5</v>
      </c>
      <c r="H40" s="38">
        <v>5</v>
      </c>
      <c r="I40" s="38">
        <v>8</v>
      </c>
      <c r="J40" s="38">
        <v>48</v>
      </c>
      <c r="K40" s="38">
        <v>0</v>
      </c>
      <c r="L40" s="38">
        <f>SUM(H40:K40)</f>
        <v>61</v>
      </c>
      <c r="M40" s="38" t="s">
        <v>99</v>
      </c>
      <c r="N40" s="38" t="s">
        <v>12</v>
      </c>
      <c r="O40" s="38" t="s">
        <v>98</v>
      </c>
    </row>
    <row r="41" spans="1:15" ht="36" x14ac:dyDescent="0.3">
      <c r="A41" s="1"/>
      <c r="B41" s="2" t="s">
        <v>2</v>
      </c>
      <c r="C41" s="2" t="s">
        <v>93</v>
      </c>
      <c r="D41" s="38" t="s">
        <v>1028</v>
      </c>
      <c r="E41" s="44" t="s">
        <v>4</v>
      </c>
      <c r="F41" s="4">
        <v>45325</v>
      </c>
      <c r="G41" s="2" t="s">
        <v>5</v>
      </c>
      <c r="H41" s="2">
        <v>0</v>
      </c>
      <c r="I41" s="2">
        <v>4</v>
      </c>
      <c r="J41" s="2">
        <v>2</v>
      </c>
      <c r="K41" s="2">
        <v>0</v>
      </c>
      <c r="L41" s="2">
        <f>SUM(H41:K41)</f>
        <v>6</v>
      </c>
      <c r="M41" s="38" t="s">
        <v>11</v>
      </c>
      <c r="N41" s="38" t="s">
        <v>12</v>
      </c>
      <c r="O41" s="2" t="s">
        <v>710</v>
      </c>
    </row>
    <row r="42" spans="1:15" ht="48" x14ac:dyDescent="0.3">
      <c r="A42" s="1"/>
      <c r="B42" s="2" t="s">
        <v>2</v>
      </c>
      <c r="C42" s="2" t="s">
        <v>19</v>
      </c>
      <c r="D42" s="38" t="s">
        <v>1028</v>
      </c>
      <c r="E42" s="44" t="s">
        <v>4</v>
      </c>
      <c r="F42" s="4">
        <v>45327</v>
      </c>
      <c r="G42" s="2" t="s">
        <v>5</v>
      </c>
      <c r="H42" s="2">
        <v>0</v>
      </c>
      <c r="I42" s="2">
        <v>0</v>
      </c>
      <c r="J42" s="2">
        <v>5</v>
      </c>
      <c r="K42" s="2">
        <v>0</v>
      </c>
      <c r="L42" s="2">
        <f>SUM(H42:K42)</f>
        <v>5</v>
      </c>
      <c r="M42" s="38" t="s">
        <v>11</v>
      </c>
      <c r="N42" s="38" t="s">
        <v>12</v>
      </c>
      <c r="O42" s="2" t="s">
        <v>711</v>
      </c>
    </row>
    <row r="43" spans="1:15" s="206" customFormat="1" ht="36" x14ac:dyDescent="0.3">
      <c r="A43" s="211"/>
      <c r="B43" s="212" t="s">
        <v>2</v>
      </c>
      <c r="C43" s="212" t="s">
        <v>527</v>
      </c>
      <c r="D43" s="202" t="s">
        <v>1028</v>
      </c>
      <c r="E43" s="202" t="s">
        <v>4</v>
      </c>
      <c r="F43" s="213">
        <v>45327</v>
      </c>
      <c r="G43" s="202" t="s">
        <v>5</v>
      </c>
      <c r="H43" s="212">
        <v>0</v>
      </c>
      <c r="I43" s="212">
        <v>2</v>
      </c>
      <c r="J43" s="212">
        <v>12</v>
      </c>
      <c r="K43" s="212">
        <v>0</v>
      </c>
      <c r="L43" s="212">
        <v>14</v>
      </c>
      <c r="M43" s="212" t="s">
        <v>528</v>
      </c>
      <c r="N43" s="202" t="s">
        <v>12</v>
      </c>
      <c r="O43" s="212" t="s">
        <v>534</v>
      </c>
    </row>
    <row r="44" spans="1:15" s="257" customFormat="1" ht="48" x14ac:dyDescent="0.3">
      <c r="A44" s="243"/>
      <c r="B44" s="240" t="s">
        <v>2</v>
      </c>
      <c r="C44" s="240" t="s">
        <v>835</v>
      </c>
      <c r="D44" s="202" t="s">
        <v>1028</v>
      </c>
      <c r="E44" s="240" t="s">
        <v>4</v>
      </c>
      <c r="F44" s="242">
        <v>45330</v>
      </c>
      <c r="G44" s="240" t="s">
        <v>5</v>
      </c>
      <c r="H44" s="240">
        <v>0</v>
      </c>
      <c r="I44" s="240">
        <v>5</v>
      </c>
      <c r="J44" s="240">
        <v>0</v>
      </c>
      <c r="K44" s="240">
        <v>0</v>
      </c>
      <c r="L44" s="240">
        <v>5</v>
      </c>
      <c r="M44" s="202" t="s">
        <v>11</v>
      </c>
      <c r="N44" s="202" t="s">
        <v>12</v>
      </c>
      <c r="O44" s="240" t="s">
        <v>836</v>
      </c>
    </row>
    <row r="45" spans="1:15" s="257" customFormat="1" ht="36" x14ac:dyDescent="0.3">
      <c r="A45" s="243"/>
      <c r="B45" s="240" t="s">
        <v>175</v>
      </c>
      <c r="C45" s="240" t="s">
        <v>595</v>
      </c>
      <c r="D45" s="202" t="s">
        <v>1028</v>
      </c>
      <c r="E45" s="240" t="s">
        <v>4</v>
      </c>
      <c r="F45" s="242">
        <v>45331</v>
      </c>
      <c r="G45" s="240" t="s">
        <v>92</v>
      </c>
      <c r="H45" s="240">
        <v>0</v>
      </c>
      <c r="I45" s="240">
        <v>4</v>
      </c>
      <c r="J45" s="240">
        <v>8</v>
      </c>
      <c r="K45" s="240">
        <v>13</v>
      </c>
      <c r="L45" s="240">
        <v>25</v>
      </c>
      <c r="M45" s="240" t="s">
        <v>7</v>
      </c>
      <c r="N45" s="202" t="s">
        <v>12</v>
      </c>
      <c r="O45" s="240" t="s">
        <v>794</v>
      </c>
    </row>
    <row r="46" spans="1:15" ht="36" x14ac:dyDescent="0.3">
      <c r="A46" s="1"/>
      <c r="B46" s="2" t="s">
        <v>27</v>
      </c>
      <c r="C46" s="2" t="s">
        <v>100</v>
      </c>
      <c r="D46" s="44" t="s">
        <v>1028</v>
      </c>
      <c r="E46" s="44" t="s">
        <v>4</v>
      </c>
      <c r="F46" s="4">
        <v>45331</v>
      </c>
      <c r="G46" s="2" t="s">
        <v>101</v>
      </c>
      <c r="H46" s="2">
        <v>0</v>
      </c>
      <c r="I46" s="2">
        <v>0</v>
      </c>
      <c r="J46" s="2">
        <v>20</v>
      </c>
      <c r="K46" s="2">
        <v>0</v>
      </c>
      <c r="L46" s="2">
        <f>SUM(H46:K46)</f>
        <v>20</v>
      </c>
      <c r="M46" s="2" t="s">
        <v>108</v>
      </c>
      <c r="N46" s="44" t="s">
        <v>12</v>
      </c>
      <c r="O46" s="2" t="s">
        <v>109</v>
      </c>
    </row>
    <row r="47" spans="1:15" s="110" customFormat="1" ht="60" x14ac:dyDescent="0.3">
      <c r="A47" s="107"/>
      <c r="B47" s="108" t="s">
        <v>3</v>
      </c>
      <c r="C47" s="108" t="s">
        <v>63</v>
      </c>
      <c r="D47" s="108" t="s">
        <v>1028</v>
      </c>
      <c r="E47" s="108" t="s">
        <v>4</v>
      </c>
      <c r="F47" s="109">
        <v>45333</v>
      </c>
      <c r="G47" s="108" t="s">
        <v>216</v>
      </c>
      <c r="H47" s="108">
        <v>1</v>
      </c>
      <c r="I47" s="108">
        <v>0</v>
      </c>
      <c r="J47" s="108">
        <v>20</v>
      </c>
      <c r="K47" s="108">
        <v>0</v>
      </c>
      <c r="L47" s="108">
        <v>21</v>
      </c>
      <c r="M47" s="108" t="s">
        <v>62</v>
      </c>
      <c r="N47" s="108" t="s">
        <v>12</v>
      </c>
      <c r="O47" s="108" t="s">
        <v>219</v>
      </c>
    </row>
    <row r="48" spans="1:15" s="43" customFormat="1" ht="36" x14ac:dyDescent="0.3">
      <c r="A48" s="37"/>
      <c r="B48" s="44" t="s">
        <v>3</v>
      </c>
      <c r="C48" s="44" t="s">
        <v>103</v>
      </c>
      <c r="D48" s="44" t="s">
        <v>1028</v>
      </c>
      <c r="E48" s="44" t="s">
        <v>4</v>
      </c>
      <c r="F48" s="39">
        <v>45334</v>
      </c>
      <c r="G48" s="44" t="s">
        <v>80</v>
      </c>
      <c r="H48" s="44">
        <v>0</v>
      </c>
      <c r="I48" s="44">
        <v>0</v>
      </c>
      <c r="J48" s="44">
        <v>5</v>
      </c>
      <c r="K48" s="44">
        <v>0</v>
      </c>
      <c r="L48" s="44">
        <v>5</v>
      </c>
      <c r="M48" s="44" t="s">
        <v>82</v>
      </c>
      <c r="N48" s="44" t="s">
        <v>12</v>
      </c>
      <c r="O48" s="44" t="s">
        <v>110</v>
      </c>
    </row>
    <row r="49" spans="1:15" s="257" customFormat="1" ht="24" x14ac:dyDescent="0.3">
      <c r="A49" s="243"/>
      <c r="B49" s="240" t="s">
        <v>2</v>
      </c>
      <c r="C49" s="240" t="s">
        <v>837</v>
      </c>
      <c r="D49" s="202" t="s">
        <v>1028</v>
      </c>
      <c r="E49" s="240" t="s">
        <v>4</v>
      </c>
      <c r="F49" s="242">
        <v>45334</v>
      </c>
      <c r="G49" s="240" t="s">
        <v>5</v>
      </c>
      <c r="H49" s="240">
        <v>0</v>
      </c>
      <c r="I49" s="240">
        <v>3</v>
      </c>
      <c r="J49" s="240">
        <v>0</v>
      </c>
      <c r="K49" s="240">
        <v>0</v>
      </c>
      <c r="L49" s="240">
        <v>3</v>
      </c>
      <c r="M49" s="202" t="s">
        <v>11</v>
      </c>
      <c r="N49" s="202" t="s">
        <v>12</v>
      </c>
      <c r="O49" s="240" t="s">
        <v>838</v>
      </c>
    </row>
    <row r="50" spans="1:15" s="257" customFormat="1" ht="48" x14ac:dyDescent="0.3">
      <c r="A50" s="243"/>
      <c r="B50" s="240" t="s">
        <v>2</v>
      </c>
      <c r="C50" s="240" t="s">
        <v>19</v>
      </c>
      <c r="D50" s="202" t="s">
        <v>1028</v>
      </c>
      <c r="E50" s="240" t="s">
        <v>4</v>
      </c>
      <c r="F50" s="242">
        <v>45334</v>
      </c>
      <c r="G50" s="240" t="s">
        <v>5</v>
      </c>
      <c r="H50" s="240">
        <v>0</v>
      </c>
      <c r="I50" s="240">
        <v>2</v>
      </c>
      <c r="J50" s="240">
        <v>7</v>
      </c>
      <c r="K50" s="240">
        <v>0</v>
      </c>
      <c r="L50" s="240">
        <v>9</v>
      </c>
      <c r="M50" s="202" t="s">
        <v>11</v>
      </c>
      <c r="N50" s="202" t="s">
        <v>12</v>
      </c>
      <c r="O50" s="240" t="s">
        <v>839</v>
      </c>
    </row>
    <row r="51" spans="1:15" s="43" customFormat="1" ht="36" x14ac:dyDescent="0.3">
      <c r="A51" s="37"/>
      <c r="B51" s="44" t="s">
        <v>3</v>
      </c>
      <c r="C51" s="44" t="s">
        <v>103</v>
      </c>
      <c r="D51" s="44" t="s">
        <v>1028</v>
      </c>
      <c r="E51" s="44" t="s">
        <v>4</v>
      </c>
      <c r="F51" s="39">
        <v>45335</v>
      </c>
      <c r="G51" s="44" t="s">
        <v>80</v>
      </c>
      <c r="H51" s="44">
        <v>0</v>
      </c>
      <c r="I51" s="44">
        <v>2</v>
      </c>
      <c r="J51" s="44">
        <v>8</v>
      </c>
      <c r="K51" s="44">
        <v>0</v>
      </c>
      <c r="L51" s="44">
        <v>10</v>
      </c>
      <c r="M51" s="44" t="s">
        <v>82</v>
      </c>
      <c r="N51" s="44" t="s">
        <v>12</v>
      </c>
      <c r="O51" s="44" t="s">
        <v>110</v>
      </c>
    </row>
    <row r="52" spans="1:15" s="257" customFormat="1" ht="48" x14ac:dyDescent="0.3">
      <c r="A52" s="243"/>
      <c r="B52" s="240" t="s">
        <v>2</v>
      </c>
      <c r="C52" s="240" t="s">
        <v>840</v>
      </c>
      <c r="D52" s="202" t="s">
        <v>1028</v>
      </c>
      <c r="E52" s="240" t="s">
        <v>4</v>
      </c>
      <c r="F52" s="242">
        <v>45335</v>
      </c>
      <c r="G52" s="240" t="s">
        <v>5</v>
      </c>
      <c r="H52" s="240">
        <v>0</v>
      </c>
      <c r="I52" s="240">
        <v>4</v>
      </c>
      <c r="J52" s="240">
        <v>0</v>
      </c>
      <c r="K52" s="240">
        <v>0</v>
      </c>
      <c r="L52" s="240">
        <v>4</v>
      </c>
      <c r="M52" s="202" t="s">
        <v>11</v>
      </c>
      <c r="N52" s="202" t="s">
        <v>12</v>
      </c>
      <c r="O52" s="240" t="s">
        <v>841</v>
      </c>
    </row>
    <row r="53" spans="1:15" s="257" customFormat="1" ht="48" x14ac:dyDescent="0.3">
      <c r="A53" s="243"/>
      <c r="B53" s="240" t="s">
        <v>2</v>
      </c>
      <c r="C53" s="240" t="s">
        <v>102</v>
      </c>
      <c r="D53" s="240" t="s">
        <v>1028</v>
      </c>
      <c r="E53" s="240" t="s">
        <v>4</v>
      </c>
      <c r="F53" s="242">
        <v>45336</v>
      </c>
      <c r="G53" s="240" t="s">
        <v>101</v>
      </c>
      <c r="H53" s="240">
        <v>0</v>
      </c>
      <c r="I53" s="240">
        <v>1</v>
      </c>
      <c r="J53" s="240">
        <v>13</v>
      </c>
      <c r="K53" s="240">
        <v>0</v>
      </c>
      <c r="L53" s="240">
        <v>14</v>
      </c>
      <c r="M53" s="240" t="s">
        <v>796</v>
      </c>
      <c r="N53" s="202" t="s">
        <v>12</v>
      </c>
      <c r="O53" s="240" t="s">
        <v>795</v>
      </c>
    </row>
    <row r="54" spans="1:15" s="257" customFormat="1" ht="48" x14ac:dyDescent="0.3">
      <c r="A54" s="243"/>
      <c r="B54" s="240" t="s">
        <v>2</v>
      </c>
      <c r="C54" s="240" t="s">
        <v>842</v>
      </c>
      <c r="D54" s="202" t="s">
        <v>1028</v>
      </c>
      <c r="E54" s="240" t="s">
        <v>4</v>
      </c>
      <c r="F54" s="242">
        <v>45336</v>
      </c>
      <c r="G54" s="240" t="s">
        <v>5</v>
      </c>
      <c r="H54" s="240">
        <v>0</v>
      </c>
      <c r="I54" s="240">
        <v>2</v>
      </c>
      <c r="J54" s="240">
        <v>7</v>
      </c>
      <c r="K54" s="240">
        <v>0</v>
      </c>
      <c r="L54" s="240">
        <v>9</v>
      </c>
      <c r="M54" s="202" t="s">
        <v>11</v>
      </c>
      <c r="N54" s="202" t="s">
        <v>12</v>
      </c>
      <c r="O54" s="240" t="s">
        <v>843</v>
      </c>
    </row>
    <row r="55" spans="1:15" ht="36" x14ac:dyDescent="0.3">
      <c r="A55" s="1"/>
      <c r="B55" s="2" t="s">
        <v>3</v>
      </c>
      <c r="C55" s="2" t="s">
        <v>22</v>
      </c>
      <c r="D55" s="44" t="s">
        <v>1028</v>
      </c>
      <c r="E55" s="44" t="s">
        <v>4</v>
      </c>
      <c r="F55" s="4">
        <v>45337</v>
      </c>
      <c r="G55" s="44" t="s">
        <v>80</v>
      </c>
      <c r="H55" s="2">
        <v>0</v>
      </c>
      <c r="I55" s="2">
        <v>2</v>
      </c>
      <c r="J55" s="2">
        <v>6</v>
      </c>
      <c r="K55" s="2">
        <v>0</v>
      </c>
      <c r="L55" s="2">
        <v>8</v>
      </c>
      <c r="M55" s="44" t="s">
        <v>82</v>
      </c>
      <c r="N55" s="44" t="s">
        <v>12</v>
      </c>
      <c r="O55" s="2" t="s">
        <v>111</v>
      </c>
    </row>
    <row r="56" spans="1:15" ht="156" x14ac:dyDescent="0.3">
      <c r="A56" s="1"/>
      <c r="B56" s="2" t="s">
        <v>8</v>
      </c>
      <c r="C56" s="2" t="s">
        <v>104</v>
      </c>
      <c r="D56" s="2" t="s">
        <v>84</v>
      </c>
      <c r="E56" s="44" t="s">
        <v>4</v>
      </c>
      <c r="F56" s="39">
        <v>45337</v>
      </c>
      <c r="G56" s="2" t="s">
        <v>105</v>
      </c>
      <c r="H56" s="2">
        <v>10</v>
      </c>
      <c r="I56" s="2">
        <v>20</v>
      </c>
      <c r="J56" s="2">
        <v>0</v>
      </c>
      <c r="K56" s="2">
        <v>0</v>
      </c>
      <c r="L56" s="2">
        <f>SUM(H56:K56)</f>
        <v>30</v>
      </c>
      <c r="M56" s="2" t="s">
        <v>107</v>
      </c>
      <c r="N56" s="2" t="s">
        <v>31</v>
      </c>
      <c r="O56" s="2" t="s">
        <v>106</v>
      </c>
    </row>
    <row r="57" spans="1:15" s="48" customFormat="1" ht="282" customHeight="1" x14ac:dyDescent="0.3">
      <c r="A57" s="37"/>
      <c r="B57" s="46" t="s">
        <v>2</v>
      </c>
      <c r="C57" s="46" t="s">
        <v>129</v>
      </c>
      <c r="D57" s="46" t="s">
        <v>1028</v>
      </c>
      <c r="E57" s="46" t="s">
        <v>4</v>
      </c>
      <c r="F57" s="47">
        <v>45338</v>
      </c>
      <c r="G57" s="2" t="s">
        <v>5</v>
      </c>
      <c r="H57" s="25">
        <v>23</v>
      </c>
      <c r="I57" s="25">
        <v>120</v>
      </c>
      <c r="J57" s="25">
        <v>330</v>
      </c>
      <c r="K57" s="25">
        <v>17</v>
      </c>
      <c r="L57" s="46">
        <f>SUM(H57:K57)</f>
        <v>490</v>
      </c>
      <c r="M57" s="46" t="s">
        <v>6</v>
      </c>
      <c r="N57" s="46" t="s">
        <v>12</v>
      </c>
      <c r="O57" s="46" t="s">
        <v>128</v>
      </c>
    </row>
    <row r="58" spans="1:15" ht="36" x14ac:dyDescent="0.3">
      <c r="A58" s="1"/>
      <c r="B58" s="2" t="s">
        <v>2</v>
      </c>
      <c r="C58" s="2" t="s">
        <v>112</v>
      </c>
      <c r="D58" s="46" t="s">
        <v>1028</v>
      </c>
      <c r="E58" s="2" t="s">
        <v>4</v>
      </c>
      <c r="F58" s="4">
        <v>45341</v>
      </c>
      <c r="G58" s="46" t="s">
        <v>5</v>
      </c>
      <c r="H58" s="2">
        <v>0</v>
      </c>
      <c r="I58" s="2">
        <v>3</v>
      </c>
      <c r="J58" s="2">
        <v>7</v>
      </c>
      <c r="K58" s="2">
        <v>0</v>
      </c>
      <c r="L58" s="2">
        <v>10</v>
      </c>
      <c r="M58" s="46" t="s">
        <v>11</v>
      </c>
      <c r="N58" s="46" t="s">
        <v>12</v>
      </c>
      <c r="O58" s="2" t="s">
        <v>118</v>
      </c>
    </row>
    <row r="59" spans="1:15" ht="60" x14ac:dyDescent="0.3">
      <c r="A59" s="1"/>
      <c r="B59" s="2" t="s">
        <v>2</v>
      </c>
      <c r="C59" s="2" t="s">
        <v>113</v>
      </c>
      <c r="D59" s="46" t="s">
        <v>1028</v>
      </c>
      <c r="E59" s="2" t="s">
        <v>4</v>
      </c>
      <c r="F59" s="4">
        <v>45342</v>
      </c>
      <c r="G59" s="2" t="s">
        <v>5</v>
      </c>
      <c r="H59" s="2">
        <v>0</v>
      </c>
      <c r="I59" s="2">
        <v>6</v>
      </c>
      <c r="J59" s="2">
        <v>6</v>
      </c>
      <c r="K59" s="2">
        <v>0</v>
      </c>
      <c r="L59" s="2">
        <v>12</v>
      </c>
      <c r="M59" s="46" t="s">
        <v>11</v>
      </c>
      <c r="N59" s="46" t="s">
        <v>12</v>
      </c>
      <c r="O59" s="46" t="s">
        <v>712</v>
      </c>
    </row>
    <row r="60" spans="1:15" s="257" customFormat="1" ht="84" x14ac:dyDescent="0.3">
      <c r="A60" s="243"/>
      <c r="B60" s="240" t="s">
        <v>2</v>
      </c>
      <c r="C60" s="240" t="s">
        <v>115</v>
      </c>
      <c r="D60" s="240" t="s">
        <v>1028</v>
      </c>
      <c r="E60" s="240" t="s">
        <v>4</v>
      </c>
      <c r="F60" s="242">
        <v>45343</v>
      </c>
      <c r="G60" s="240" t="s">
        <v>92</v>
      </c>
      <c r="H60" s="240">
        <v>0</v>
      </c>
      <c r="I60" s="240">
        <v>6</v>
      </c>
      <c r="J60" s="240">
        <v>6</v>
      </c>
      <c r="K60" s="240">
        <v>11</v>
      </c>
      <c r="L60" s="240">
        <v>23</v>
      </c>
      <c r="M60" s="240" t="s">
        <v>797</v>
      </c>
      <c r="N60" s="202" t="s">
        <v>12</v>
      </c>
      <c r="O60" s="240" t="s">
        <v>798</v>
      </c>
    </row>
    <row r="61" spans="1:15" ht="36" x14ac:dyDescent="0.3">
      <c r="A61" s="1"/>
      <c r="B61" s="2" t="s">
        <v>2</v>
      </c>
      <c r="C61" s="2" t="s">
        <v>114</v>
      </c>
      <c r="D61" s="46" t="s">
        <v>1028</v>
      </c>
      <c r="E61" s="2" t="s">
        <v>4</v>
      </c>
      <c r="F61" s="4">
        <v>45343</v>
      </c>
      <c r="G61" s="2" t="s">
        <v>5</v>
      </c>
      <c r="H61" s="2">
        <v>0</v>
      </c>
      <c r="I61" s="2">
        <v>1</v>
      </c>
      <c r="J61" s="2">
        <v>12</v>
      </c>
      <c r="K61" s="2">
        <v>0</v>
      </c>
      <c r="L61" s="2">
        <v>13</v>
      </c>
      <c r="M61" s="46" t="s">
        <v>11</v>
      </c>
      <c r="N61" s="46" t="s">
        <v>12</v>
      </c>
      <c r="O61" s="2" t="s">
        <v>713</v>
      </c>
    </row>
    <row r="62" spans="1:15" ht="84" x14ac:dyDescent="0.3">
      <c r="A62" s="1"/>
      <c r="B62" s="2" t="s">
        <v>2</v>
      </c>
      <c r="C62" s="2" t="s">
        <v>115</v>
      </c>
      <c r="D62" s="46" t="s">
        <v>1028</v>
      </c>
      <c r="E62" s="2" t="s">
        <v>4</v>
      </c>
      <c r="F62" s="4">
        <v>45343</v>
      </c>
      <c r="G62" s="2" t="s">
        <v>116</v>
      </c>
      <c r="H62" s="2">
        <v>0</v>
      </c>
      <c r="I62" s="2">
        <v>6</v>
      </c>
      <c r="J62" s="2">
        <v>6</v>
      </c>
      <c r="K62" s="2">
        <v>11</v>
      </c>
      <c r="L62" s="2">
        <f>SUM(H62:K62)</f>
        <v>23</v>
      </c>
      <c r="M62" s="2" t="s">
        <v>117</v>
      </c>
      <c r="N62" s="46" t="s">
        <v>12</v>
      </c>
      <c r="O62" s="2" t="s">
        <v>119</v>
      </c>
    </row>
    <row r="63" spans="1:15" ht="168" x14ac:dyDescent="0.3">
      <c r="A63" s="1"/>
      <c r="B63" s="2" t="s">
        <v>3</v>
      </c>
      <c r="C63" s="2" t="s">
        <v>120</v>
      </c>
      <c r="D63" s="46" t="s">
        <v>1028</v>
      </c>
      <c r="E63" s="2" t="s">
        <v>4</v>
      </c>
      <c r="F63" s="47">
        <v>45343</v>
      </c>
      <c r="G63" s="2" t="s">
        <v>5</v>
      </c>
      <c r="H63" s="2">
        <v>27</v>
      </c>
      <c r="I63" s="2">
        <v>35</v>
      </c>
      <c r="J63" s="2">
        <v>52</v>
      </c>
      <c r="K63" s="2">
        <v>3</v>
      </c>
      <c r="L63" s="2">
        <f>SUM(H63:K63)</f>
        <v>117</v>
      </c>
      <c r="M63" s="2" t="s">
        <v>121</v>
      </c>
      <c r="N63" s="46" t="s">
        <v>12</v>
      </c>
      <c r="O63" s="2" t="s">
        <v>122</v>
      </c>
    </row>
    <row r="64" spans="1:15" s="48" customFormat="1" ht="92.25" customHeight="1" x14ac:dyDescent="0.3">
      <c r="A64" s="37"/>
      <c r="B64" s="46" t="s">
        <v>8</v>
      </c>
      <c r="C64" s="46" t="s">
        <v>126</v>
      </c>
      <c r="D64" s="46" t="s">
        <v>1028</v>
      </c>
      <c r="E64" s="46" t="s">
        <v>4</v>
      </c>
      <c r="F64" s="47">
        <v>45343</v>
      </c>
      <c r="G64" s="46" t="s">
        <v>5</v>
      </c>
      <c r="H64" s="46">
        <v>7</v>
      </c>
      <c r="I64" s="46">
        <v>50</v>
      </c>
      <c r="J64" s="46">
        <v>90</v>
      </c>
      <c r="K64" s="46">
        <v>5</v>
      </c>
      <c r="L64" s="46">
        <f>SUM(H64:K64)</f>
        <v>152</v>
      </c>
      <c r="M64" s="46" t="s">
        <v>6</v>
      </c>
      <c r="N64" s="46" t="s">
        <v>12</v>
      </c>
      <c r="O64" s="46" t="s">
        <v>127</v>
      </c>
    </row>
    <row r="65" spans="1:16" ht="116.25" customHeight="1" x14ac:dyDescent="0.3">
      <c r="A65" s="1"/>
      <c r="B65" s="2" t="s">
        <v>8</v>
      </c>
      <c r="C65" s="2" t="s">
        <v>123</v>
      </c>
      <c r="D65" s="46" t="s">
        <v>1028</v>
      </c>
      <c r="E65" s="46" t="s">
        <v>4</v>
      </c>
      <c r="F65" s="47">
        <v>45344</v>
      </c>
      <c r="G65" s="46" t="s">
        <v>5</v>
      </c>
      <c r="H65" s="2">
        <v>24</v>
      </c>
      <c r="I65" s="2">
        <v>47</v>
      </c>
      <c r="J65" s="2">
        <v>63</v>
      </c>
      <c r="K65" s="2">
        <v>5</v>
      </c>
      <c r="L65" s="2">
        <f>SUM(H65:K65)</f>
        <v>139</v>
      </c>
      <c r="M65" s="2" t="s">
        <v>124</v>
      </c>
      <c r="N65" s="46" t="s">
        <v>12</v>
      </c>
      <c r="O65" s="2" t="s">
        <v>125</v>
      </c>
    </row>
    <row r="66" spans="1:16" s="48" customFormat="1" ht="72" x14ac:dyDescent="0.3">
      <c r="A66" s="37"/>
      <c r="B66" s="8" t="s">
        <v>2</v>
      </c>
      <c r="C66" s="46" t="s">
        <v>130</v>
      </c>
      <c r="D66" s="10" t="s">
        <v>1028</v>
      </c>
      <c r="E66" s="8" t="s">
        <v>4</v>
      </c>
      <c r="F66" s="47">
        <v>45344</v>
      </c>
      <c r="G66" s="8" t="s">
        <v>5</v>
      </c>
      <c r="H66" s="46">
        <v>0</v>
      </c>
      <c r="I66" s="46">
        <v>7</v>
      </c>
      <c r="J66" s="46">
        <v>5</v>
      </c>
      <c r="K66" s="46">
        <v>0</v>
      </c>
      <c r="L66" s="46">
        <v>12</v>
      </c>
      <c r="M66" s="46" t="s">
        <v>11</v>
      </c>
      <c r="N66" s="46" t="s">
        <v>12</v>
      </c>
      <c r="O66" s="46" t="s">
        <v>714</v>
      </c>
    </row>
    <row r="67" spans="1:16" s="52" customFormat="1" ht="84" x14ac:dyDescent="0.3">
      <c r="A67" s="51"/>
      <c r="B67" s="46" t="s">
        <v>3</v>
      </c>
      <c r="C67" s="46" t="s">
        <v>135</v>
      </c>
      <c r="D67" s="10" t="s">
        <v>1028</v>
      </c>
      <c r="E67" s="8" t="s">
        <v>133</v>
      </c>
      <c r="F67" s="9" t="s">
        <v>900</v>
      </c>
      <c r="G67" s="154" t="s">
        <v>318</v>
      </c>
      <c r="H67" s="46">
        <v>0</v>
      </c>
      <c r="I67" s="46">
        <v>25</v>
      </c>
      <c r="J67" s="46">
        <v>72</v>
      </c>
      <c r="K67" s="46">
        <v>3</v>
      </c>
      <c r="L67" s="46">
        <f>SUM(H67:K67)</f>
        <v>100</v>
      </c>
      <c r="M67" s="60" t="s">
        <v>134</v>
      </c>
      <c r="N67" s="46" t="s">
        <v>12</v>
      </c>
      <c r="O67" s="46" t="s">
        <v>136</v>
      </c>
      <c r="P67" s="48"/>
    </row>
    <row r="68" spans="1:16" s="52" customFormat="1" ht="48" x14ac:dyDescent="0.3">
      <c r="A68" s="51"/>
      <c r="B68" s="8" t="s">
        <v>2</v>
      </c>
      <c r="C68" s="46" t="s">
        <v>19</v>
      </c>
      <c r="D68" s="10" t="s">
        <v>1028</v>
      </c>
      <c r="E68" s="8" t="s">
        <v>4</v>
      </c>
      <c r="F68" s="47">
        <v>45348</v>
      </c>
      <c r="G68" s="8" t="s">
        <v>5</v>
      </c>
      <c r="H68" s="46">
        <v>0</v>
      </c>
      <c r="I68" s="46">
        <v>0</v>
      </c>
      <c r="J68" s="46">
        <v>6</v>
      </c>
      <c r="K68" s="46">
        <v>0</v>
      </c>
      <c r="L68" s="46">
        <v>6</v>
      </c>
      <c r="M68" s="46" t="s">
        <v>11</v>
      </c>
      <c r="N68" s="46" t="s">
        <v>12</v>
      </c>
      <c r="O68" s="46" t="s">
        <v>715</v>
      </c>
    </row>
    <row r="69" spans="1:16" s="52" customFormat="1" ht="24" x14ac:dyDescent="0.3">
      <c r="A69" s="51"/>
      <c r="B69" s="8" t="s">
        <v>2</v>
      </c>
      <c r="C69" s="46" t="s">
        <v>131</v>
      </c>
      <c r="D69" s="10" t="s">
        <v>1028</v>
      </c>
      <c r="E69" s="8" t="s">
        <v>4</v>
      </c>
      <c r="F69" s="47">
        <v>45349</v>
      </c>
      <c r="G69" s="8" t="s">
        <v>5</v>
      </c>
      <c r="H69" s="46">
        <v>0</v>
      </c>
      <c r="I69" s="46">
        <v>1</v>
      </c>
      <c r="J69" s="46">
        <v>4</v>
      </c>
      <c r="K69" s="46">
        <v>0</v>
      </c>
      <c r="L69" s="46">
        <v>5</v>
      </c>
      <c r="M69" s="46" t="s">
        <v>11</v>
      </c>
      <c r="N69" s="46" t="s">
        <v>12</v>
      </c>
      <c r="O69" s="46" t="s">
        <v>716</v>
      </c>
    </row>
    <row r="70" spans="1:16" s="52" customFormat="1" ht="36" x14ac:dyDescent="0.3">
      <c r="A70" s="51"/>
      <c r="B70" s="8" t="s">
        <v>2</v>
      </c>
      <c r="C70" s="46" t="s">
        <v>114</v>
      </c>
      <c r="D70" s="10" t="s">
        <v>1028</v>
      </c>
      <c r="E70" s="8" t="s">
        <v>4</v>
      </c>
      <c r="F70" s="47">
        <v>45350</v>
      </c>
      <c r="G70" s="8" t="s">
        <v>5</v>
      </c>
      <c r="H70" s="46">
        <v>0</v>
      </c>
      <c r="I70" s="46">
        <v>1</v>
      </c>
      <c r="J70" s="46">
        <v>7</v>
      </c>
      <c r="K70" s="46">
        <v>0</v>
      </c>
      <c r="L70" s="46">
        <v>8</v>
      </c>
      <c r="M70" s="46" t="s">
        <v>11</v>
      </c>
      <c r="N70" s="46" t="s">
        <v>12</v>
      </c>
      <c r="O70" s="46" t="s">
        <v>722</v>
      </c>
    </row>
    <row r="71" spans="1:16" s="52" customFormat="1" ht="48" x14ac:dyDescent="0.3">
      <c r="A71" s="57"/>
      <c r="B71" s="8" t="s">
        <v>8</v>
      </c>
      <c r="C71" s="93" t="s">
        <v>198</v>
      </c>
      <c r="D71" s="10" t="s">
        <v>1028</v>
      </c>
      <c r="E71" s="8" t="s">
        <v>4</v>
      </c>
      <c r="F71" s="94">
        <v>45350</v>
      </c>
      <c r="G71" s="58" t="s">
        <v>199</v>
      </c>
      <c r="H71" s="93">
        <v>3</v>
      </c>
      <c r="I71" s="93">
        <v>25</v>
      </c>
      <c r="J71" s="93">
        <v>72</v>
      </c>
      <c r="K71" s="93">
        <v>3</v>
      </c>
      <c r="L71" s="93">
        <f>SUM(H71:K71)</f>
        <v>103</v>
      </c>
      <c r="M71" s="60" t="s">
        <v>134</v>
      </c>
      <c r="N71" s="93" t="s">
        <v>12</v>
      </c>
      <c r="O71" s="93" t="s">
        <v>200</v>
      </c>
    </row>
    <row r="72" spans="1:16" s="52" customFormat="1" ht="96" x14ac:dyDescent="0.3">
      <c r="A72" s="57"/>
      <c r="B72" s="8" t="s">
        <v>2</v>
      </c>
      <c r="C72" s="46" t="s">
        <v>132</v>
      </c>
      <c r="D72" s="10" t="s">
        <v>1028</v>
      </c>
      <c r="E72" s="58" t="s">
        <v>4</v>
      </c>
      <c r="F72" s="59">
        <v>45351</v>
      </c>
      <c r="G72" s="58" t="s">
        <v>5</v>
      </c>
      <c r="H72" s="12">
        <v>1</v>
      </c>
      <c r="I72" s="12">
        <v>4</v>
      </c>
      <c r="J72" s="12">
        <v>10</v>
      </c>
      <c r="K72" s="12">
        <v>0</v>
      </c>
      <c r="L72" s="12">
        <v>15</v>
      </c>
      <c r="M72" s="46" t="s">
        <v>11</v>
      </c>
      <c r="N72" s="12" t="s">
        <v>12</v>
      </c>
      <c r="O72" s="46" t="s">
        <v>717</v>
      </c>
    </row>
    <row r="73" spans="1:16" s="49" customFormat="1" ht="36" x14ac:dyDescent="0.25">
      <c r="A73" s="61"/>
      <c r="B73" s="50" t="s">
        <v>2</v>
      </c>
      <c r="C73" s="46" t="s">
        <v>142</v>
      </c>
      <c r="D73" s="10" t="s">
        <v>1028</v>
      </c>
      <c r="E73" s="10" t="s">
        <v>4</v>
      </c>
      <c r="F73" s="47">
        <v>45351</v>
      </c>
      <c r="G73" s="46" t="s">
        <v>145</v>
      </c>
      <c r="H73" s="46">
        <v>0</v>
      </c>
      <c r="I73" s="46">
        <v>1</v>
      </c>
      <c r="J73" s="46">
        <v>11</v>
      </c>
      <c r="K73" s="46">
        <v>0</v>
      </c>
      <c r="L73" s="46">
        <v>12</v>
      </c>
      <c r="M73" s="25" t="s">
        <v>108</v>
      </c>
      <c r="N73" s="46" t="s">
        <v>12</v>
      </c>
      <c r="O73" s="46" t="s">
        <v>143</v>
      </c>
    </row>
    <row r="74" spans="1:16" s="49" customFormat="1" ht="228" x14ac:dyDescent="0.25">
      <c r="A74" s="61"/>
      <c r="B74" s="50" t="s">
        <v>2</v>
      </c>
      <c r="C74" s="93" t="s">
        <v>189</v>
      </c>
      <c r="D74" s="10" t="s">
        <v>17</v>
      </c>
      <c r="E74" s="10" t="s">
        <v>4</v>
      </c>
      <c r="F74" s="94" t="s">
        <v>193</v>
      </c>
      <c r="G74" s="12" t="s">
        <v>188</v>
      </c>
      <c r="H74" s="93">
        <v>3</v>
      </c>
      <c r="I74" s="93">
        <v>0</v>
      </c>
      <c r="J74" s="93">
        <v>32</v>
      </c>
      <c r="K74" s="93">
        <v>0</v>
      </c>
      <c r="L74" s="93">
        <f>SUM(H74:K74)</f>
        <v>35</v>
      </c>
      <c r="M74" s="25" t="s">
        <v>6</v>
      </c>
      <c r="N74" s="93" t="s">
        <v>31</v>
      </c>
      <c r="O74" s="93" t="s">
        <v>190</v>
      </c>
    </row>
    <row r="75" spans="1:16" s="49" customFormat="1" ht="72" x14ac:dyDescent="0.25">
      <c r="A75" s="95"/>
      <c r="B75" s="96" t="s">
        <v>2</v>
      </c>
      <c r="C75" s="25" t="s">
        <v>171</v>
      </c>
      <c r="D75" s="97" t="s">
        <v>1028</v>
      </c>
      <c r="E75" s="97" t="s">
        <v>4</v>
      </c>
      <c r="F75" s="14">
        <v>45352</v>
      </c>
      <c r="G75" s="98" t="s">
        <v>5</v>
      </c>
      <c r="H75" s="25">
        <v>0</v>
      </c>
      <c r="I75" s="25">
        <v>0</v>
      </c>
      <c r="J75" s="25">
        <v>13</v>
      </c>
      <c r="K75" s="25">
        <v>1</v>
      </c>
      <c r="L75" s="25">
        <v>14</v>
      </c>
      <c r="M75" s="25" t="s">
        <v>172</v>
      </c>
      <c r="N75" s="25" t="s">
        <v>12</v>
      </c>
      <c r="O75" s="25" t="s">
        <v>173</v>
      </c>
    </row>
    <row r="76" spans="1:16" s="49" customFormat="1" ht="48" x14ac:dyDescent="0.25">
      <c r="A76" s="95"/>
      <c r="B76" s="100" t="s">
        <v>8</v>
      </c>
      <c r="C76" s="100" t="s">
        <v>191</v>
      </c>
      <c r="D76" s="97" t="s">
        <v>1028</v>
      </c>
      <c r="E76" s="97" t="s">
        <v>4</v>
      </c>
      <c r="F76" s="14">
        <v>45352</v>
      </c>
      <c r="G76" s="98" t="s">
        <v>5</v>
      </c>
      <c r="H76" s="25">
        <v>7</v>
      </c>
      <c r="I76" s="25">
        <v>0</v>
      </c>
      <c r="J76" s="25">
        <v>200</v>
      </c>
      <c r="K76" s="25">
        <v>0</v>
      </c>
      <c r="L76" s="25">
        <f>SUM(H76:K76)</f>
        <v>207</v>
      </c>
      <c r="M76" s="25" t="s">
        <v>6</v>
      </c>
      <c r="N76" s="25" t="s">
        <v>12</v>
      </c>
      <c r="O76" s="25" t="s">
        <v>192</v>
      </c>
    </row>
    <row r="77" spans="1:16" s="49" customFormat="1" ht="48" x14ac:dyDescent="0.25">
      <c r="A77" s="95"/>
      <c r="B77" s="100" t="s">
        <v>3</v>
      </c>
      <c r="C77" s="100" t="s">
        <v>209</v>
      </c>
      <c r="D77" s="97" t="s">
        <v>84</v>
      </c>
      <c r="E77" s="97" t="s">
        <v>4</v>
      </c>
      <c r="F77" s="14">
        <v>45352</v>
      </c>
      <c r="G77" s="98" t="s">
        <v>211</v>
      </c>
      <c r="H77" s="25">
        <v>60</v>
      </c>
      <c r="I77" s="25">
        <v>0</v>
      </c>
      <c r="J77" s="25">
        <v>12</v>
      </c>
      <c r="K77" s="25">
        <v>0</v>
      </c>
      <c r="L77" s="25">
        <v>72</v>
      </c>
      <c r="M77" s="99" t="s">
        <v>210</v>
      </c>
      <c r="N77" s="25" t="s">
        <v>31</v>
      </c>
      <c r="O77" s="25" t="s">
        <v>212</v>
      </c>
    </row>
    <row r="78" spans="1:16" s="55" customFormat="1" ht="60" x14ac:dyDescent="0.3">
      <c r="A78" s="53"/>
      <c r="B78" s="8" t="s">
        <v>2</v>
      </c>
      <c r="C78" s="46" t="s">
        <v>137</v>
      </c>
      <c r="D78" s="10" t="s">
        <v>1028</v>
      </c>
      <c r="E78" s="8" t="s">
        <v>4</v>
      </c>
      <c r="F78" s="47">
        <v>45355</v>
      </c>
      <c r="G78" s="8" t="s">
        <v>5</v>
      </c>
      <c r="H78" s="46">
        <v>0</v>
      </c>
      <c r="I78" s="46">
        <v>5</v>
      </c>
      <c r="J78" s="46">
        <v>3</v>
      </c>
      <c r="K78" s="46">
        <v>0</v>
      </c>
      <c r="L78" s="46">
        <v>8</v>
      </c>
      <c r="M78" s="46" t="s">
        <v>11</v>
      </c>
      <c r="N78" s="46" t="s">
        <v>12</v>
      </c>
      <c r="O78" s="46" t="s">
        <v>718</v>
      </c>
    </row>
    <row r="79" spans="1:16" s="56" customFormat="1" ht="72" x14ac:dyDescent="0.25">
      <c r="A79" s="11"/>
      <c r="B79" s="8" t="s">
        <v>60</v>
      </c>
      <c r="C79" s="46" t="s">
        <v>138</v>
      </c>
      <c r="D79" s="10" t="s">
        <v>1028</v>
      </c>
      <c r="E79" s="8" t="s">
        <v>4</v>
      </c>
      <c r="F79" s="47">
        <v>45357</v>
      </c>
      <c r="G79" s="8" t="s">
        <v>5</v>
      </c>
      <c r="H79" s="46">
        <v>15</v>
      </c>
      <c r="I79" s="46">
        <v>40</v>
      </c>
      <c r="J79" s="46">
        <v>130</v>
      </c>
      <c r="K79" s="46">
        <v>5</v>
      </c>
      <c r="L79" s="46">
        <v>190</v>
      </c>
      <c r="M79" s="46" t="s">
        <v>6</v>
      </c>
      <c r="N79" s="46" t="s">
        <v>12</v>
      </c>
      <c r="O79" s="46" t="s">
        <v>139</v>
      </c>
    </row>
    <row r="80" spans="1:16" s="56" customFormat="1" ht="48" x14ac:dyDescent="0.25">
      <c r="A80" s="11"/>
      <c r="B80" s="154" t="s">
        <v>297</v>
      </c>
      <c r="C80" s="77" t="s">
        <v>138</v>
      </c>
      <c r="D80" s="10" t="s">
        <v>1028</v>
      </c>
      <c r="E80" s="8" t="s">
        <v>4</v>
      </c>
      <c r="F80" s="78">
        <v>45357</v>
      </c>
      <c r="G80" s="8" t="s">
        <v>5</v>
      </c>
      <c r="H80" s="77">
        <v>0</v>
      </c>
      <c r="I80" s="77">
        <v>0</v>
      </c>
      <c r="J80" s="77">
        <v>4</v>
      </c>
      <c r="K80" s="77">
        <v>0</v>
      </c>
      <c r="L80" s="77">
        <v>4</v>
      </c>
      <c r="M80" s="60" t="s">
        <v>10</v>
      </c>
      <c r="N80" s="77" t="s">
        <v>34</v>
      </c>
      <c r="O80" s="77" t="s">
        <v>155</v>
      </c>
    </row>
    <row r="81" spans="1:15" s="56" customFormat="1" ht="84" x14ac:dyDescent="0.25">
      <c r="A81" s="54"/>
      <c r="B81" s="8" t="s">
        <v>8</v>
      </c>
      <c r="C81" s="46" t="s">
        <v>140</v>
      </c>
      <c r="D81" s="10" t="s">
        <v>1028</v>
      </c>
      <c r="E81" s="8" t="s">
        <v>4</v>
      </c>
      <c r="F81" s="47">
        <v>45357</v>
      </c>
      <c r="G81" s="8" t="s">
        <v>5</v>
      </c>
      <c r="H81" s="46">
        <v>30</v>
      </c>
      <c r="I81" s="46">
        <v>50</v>
      </c>
      <c r="J81" s="46">
        <v>110</v>
      </c>
      <c r="K81" s="46">
        <v>0</v>
      </c>
      <c r="L81" s="46">
        <v>190</v>
      </c>
      <c r="M81" s="60" t="s">
        <v>141</v>
      </c>
      <c r="N81" s="46" t="s">
        <v>12</v>
      </c>
      <c r="O81" s="46" t="s">
        <v>144</v>
      </c>
    </row>
    <row r="82" spans="1:15" s="56" customFormat="1" ht="48" x14ac:dyDescent="0.25">
      <c r="A82" s="79"/>
      <c r="B82" s="154" t="s">
        <v>297</v>
      </c>
      <c r="C82" s="77" t="s">
        <v>156</v>
      </c>
      <c r="D82" s="10" t="s">
        <v>1028</v>
      </c>
      <c r="E82" s="8" t="s">
        <v>4</v>
      </c>
      <c r="F82" s="78" t="s">
        <v>157</v>
      </c>
      <c r="G82" s="8" t="s">
        <v>5</v>
      </c>
      <c r="H82" s="77">
        <v>0</v>
      </c>
      <c r="I82" s="77">
        <v>0</v>
      </c>
      <c r="J82" s="77">
        <v>12</v>
      </c>
      <c r="K82" s="77">
        <v>0</v>
      </c>
      <c r="L82" s="77">
        <v>12</v>
      </c>
      <c r="M82" s="60" t="s">
        <v>10</v>
      </c>
      <c r="N82" s="77" t="s">
        <v>34</v>
      </c>
      <c r="O82" s="77" t="s">
        <v>158</v>
      </c>
    </row>
    <row r="83" spans="1:15" s="56" customFormat="1" ht="108" x14ac:dyDescent="0.25">
      <c r="A83" s="79"/>
      <c r="B83" s="8" t="s">
        <v>2</v>
      </c>
      <c r="C83" s="25" t="s">
        <v>159</v>
      </c>
      <c r="D83" s="97" t="s">
        <v>1028</v>
      </c>
      <c r="E83" s="101" t="s">
        <v>4</v>
      </c>
      <c r="F83" s="14">
        <v>45358</v>
      </c>
      <c r="G83" s="101" t="s">
        <v>5</v>
      </c>
      <c r="H83" s="25">
        <v>187</v>
      </c>
      <c r="I83" s="25">
        <v>104</v>
      </c>
      <c r="J83" s="25">
        <v>201</v>
      </c>
      <c r="K83" s="25">
        <v>13</v>
      </c>
      <c r="L83" s="25">
        <f>SUM(H83:K83)</f>
        <v>505</v>
      </c>
      <c r="M83" s="102" t="s">
        <v>6</v>
      </c>
      <c r="N83" s="25" t="s">
        <v>12</v>
      </c>
      <c r="O83" s="25" t="s">
        <v>187</v>
      </c>
    </row>
    <row r="84" spans="1:15" s="56" customFormat="1" ht="48" x14ac:dyDescent="0.25">
      <c r="A84" s="79"/>
      <c r="B84" s="154" t="s">
        <v>297</v>
      </c>
      <c r="C84" s="77" t="s">
        <v>159</v>
      </c>
      <c r="D84" s="10" t="s">
        <v>1028</v>
      </c>
      <c r="E84" s="8" t="s">
        <v>4</v>
      </c>
      <c r="F84" s="78">
        <v>45358</v>
      </c>
      <c r="G84" s="8" t="s">
        <v>5</v>
      </c>
      <c r="H84" s="77">
        <v>0</v>
      </c>
      <c r="I84" s="77">
        <v>0</v>
      </c>
      <c r="J84" s="77">
        <v>4</v>
      </c>
      <c r="K84" s="77">
        <v>0</v>
      </c>
      <c r="L84" s="77">
        <v>4</v>
      </c>
      <c r="M84" s="60" t="s">
        <v>10</v>
      </c>
      <c r="N84" s="77" t="s">
        <v>34</v>
      </c>
      <c r="O84" s="77" t="s">
        <v>160</v>
      </c>
    </row>
    <row r="85" spans="1:15" s="56" customFormat="1" ht="36" x14ac:dyDescent="0.25">
      <c r="A85" s="54"/>
      <c r="B85" s="8" t="s">
        <v>2</v>
      </c>
      <c r="C85" s="68" t="s">
        <v>152</v>
      </c>
      <c r="D85" s="10" t="s">
        <v>1028</v>
      </c>
      <c r="E85" s="8" t="s">
        <v>4</v>
      </c>
      <c r="F85" s="69">
        <v>45358</v>
      </c>
      <c r="G85" s="8" t="s">
        <v>5</v>
      </c>
      <c r="H85" s="68">
        <v>0</v>
      </c>
      <c r="I85" s="68">
        <v>2</v>
      </c>
      <c r="J85" s="68">
        <v>5</v>
      </c>
      <c r="K85" s="68">
        <v>0</v>
      </c>
      <c r="L85" s="68">
        <v>7</v>
      </c>
      <c r="M85" s="67" t="s">
        <v>11</v>
      </c>
      <c r="N85" s="67" t="s">
        <v>12</v>
      </c>
      <c r="O85" s="68" t="s">
        <v>719</v>
      </c>
    </row>
    <row r="86" spans="1:15" s="56" customFormat="1" ht="144" x14ac:dyDescent="0.25">
      <c r="A86" s="79"/>
      <c r="B86" s="8" t="s">
        <v>8</v>
      </c>
      <c r="C86" s="93" t="s">
        <v>184</v>
      </c>
      <c r="D86" s="10" t="s">
        <v>84</v>
      </c>
      <c r="E86" s="8" t="s">
        <v>4</v>
      </c>
      <c r="F86" s="94">
        <v>45360</v>
      </c>
      <c r="G86" s="8" t="s">
        <v>185</v>
      </c>
      <c r="H86" s="93">
        <v>5</v>
      </c>
      <c r="I86" s="93">
        <v>11</v>
      </c>
      <c r="J86" s="93">
        <v>13</v>
      </c>
      <c r="K86" s="93">
        <v>0</v>
      </c>
      <c r="L86" s="93">
        <f>SUM(H86:K86)</f>
        <v>29</v>
      </c>
      <c r="M86" s="93" t="s">
        <v>1041</v>
      </c>
      <c r="N86" s="93" t="s">
        <v>31</v>
      </c>
      <c r="O86" s="93" t="s">
        <v>186</v>
      </c>
    </row>
    <row r="87" spans="1:15" s="56" customFormat="1" ht="48" x14ac:dyDescent="0.25">
      <c r="A87" s="106"/>
      <c r="B87" s="8" t="s">
        <v>3</v>
      </c>
      <c r="C87" s="111" t="s">
        <v>218</v>
      </c>
      <c r="D87" s="10" t="s">
        <v>1028</v>
      </c>
      <c r="E87" s="8" t="s">
        <v>4</v>
      </c>
      <c r="F87" s="112">
        <v>45361</v>
      </c>
      <c r="G87" s="8" t="s">
        <v>217</v>
      </c>
      <c r="H87" s="111">
        <v>1</v>
      </c>
      <c r="I87" s="111">
        <v>0</v>
      </c>
      <c r="J87" s="111">
        <v>20</v>
      </c>
      <c r="K87" s="111">
        <v>0</v>
      </c>
      <c r="L87" s="111">
        <v>21</v>
      </c>
      <c r="M87" s="111" t="s">
        <v>62</v>
      </c>
      <c r="N87" s="111" t="s">
        <v>12</v>
      </c>
      <c r="O87" s="111" t="s">
        <v>220</v>
      </c>
    </row>
    <row r="88" spans="1:15" s="56" customFormat="1" ht="24" x14ac:dyDescent="0.25">
      <c r="A88" s="70"/>
      <c r="B88" s="8" t="s">
        <v>2</v>
      </c>
      <c r="C88" s="67" t="s">
        <v>153</v>
      </c>
      <c r="D88" s="10" t="s">
        <v>1028</v>
      </c>
      <c r="E88" s="8" t="s">
        <v>4</v>
      </c>
      <c r="F88" s="62">
        <v>45362</v>
      </c>
      <c r="G88" s="8" t="s">
        <v>5</v>
      </c>
      <c r="H88" s="67">
        <v>0</v>
      </c>
      <c r="I88" s="67">
        <v>4</v>
      </c>
      <c r="J88" s="67">
        <v>0</v>
      </c>
      <c r="K88" s="67">
        <v>0</v>
      </c>
      <c r="L88" s="67">
        <v>4</v>
      </c>
      <c r="M88" s="71" t="s">
        <v>11</v>
      </c>
      <c r="N88" s="71" t="s">
        <v>12</v>
      </c>
      <c r="O88" s="67" t="s">
        <v>720</v>
      </c>
    </row>
    <row r="89" spans="1:15" s="56" customFormat="1" ht="36" x14ac:dyDescent="0.25">
      <c r="A89" s="73"/>
      <c r="B89" s="8" t="s">
        <v>2</v>
      </c>
      <c r="C89" s="71" t="s">
        <v>154</v>
      </c>
      <c r="D89" s="10" t="s">
        <v>1028</v>
      </c>
      <c r="E89" s="8" t="s">
        <v>4</v>
      </c>
      <c r="F89" s="72">
        <v>45362</v>
      </c>
      <c r="G89" s="8" t="s">
        <v>5</v>
      </c>
      <c r="H89" s="71">
        <v>0</v>
      </c>
      <c r="I89" s="71">
        <v>7</v>
      </c>
      <c r="J89" s="71">
        <v>8</v>
      </c>
      <c r="K89" s="71">
        <v>0</v>
      </c>
      <c r="L89" s="71">
        <v>15</v>
      </c>
      <c r="M89" s="74" t="s">
        <v>11</v>
      </c>
      <c r="N89" s="74" t="s">
        <v>12</v>
      </c>
      <c r="O89" s="71" t="s">
        <v>721</v>
      </c>
    </row>
    <row r="90" spans="1:15" s="56" customFormat="1" ht="36" x14ac:dyDescent="0.25">
      <c r="A90" s="76"/>
      <c r="B90" s="8" t="s">
        <v>2</v>
      </c>
      <c r="C90" s="74" t="s">
        <v>114</v>
      </c>
      <c r="D90" s="10" t="s">
        <v>1028</v>
      </c>
      <c r="E90" s="8" t="s">
        <v>4</v>
      </c>
      <c r="F90" s="75">
        <v>45364</v>
      </c>
      <c r="G90" s="8" t="s">
        <v>5</v>
      </c>
      <c r="H90" s="74">
        <v>0</v>
      </c>
      <c r="I90" s="74">
        <v>0</v>
      </c>
      <c r="J90" s="74">
        <v>11</v>
      </c>
      <c r="K90" s="74">
        <v>0</v>
      </c>
      <c r="L90" s="74">
        <v>11</v>
      </c>
      <c r="M90" s="77" t="s">
        <v>11</v>
      </c>
      <c r="N90" s="77" t="s">
        <v>12</v>
      </c>
      <c r="O90" s="74" t="s">
        <v>722</v>
      </c>
    </row>
    <row r="91" spans="1:15" s="56" customFormat="1" ht="48" x14ac:dyDescent="0.25">
      <c r="A91" s="79"/>
      <c r="B91" s="154" t="s">
        <v>297</v>
      </c>
      <c r="C91" s="77" t="s">
        <v>156</v>
      </c>
      <c r="D91" s="10" t="s">
        <v>1028</v>
      </c>
      <c r="E91" s="8" t="s">
        <v>4</v>
      </c>
      <c r="F91" s="78">
        <v>45364</v>
      </c>
      <c r="G91" s="8" t="s">
        <v>5</v>
      </c>
      <c r="H91" s="77">
        <v>0</v>
      </c>
      <c r="I91" s="77">
        <v>0</v>
      </c>
      <c r="J91" s="77">
        <v>11</v>
      </c>
      <c r="K91" s="77">
        <v>0</v>
      </c>
      <c r="L91" s="77">
        <v>11</v>
      </c>
      <c r="M91" s="77" t="s">
        <v>10</v>
      </c>
      <c r="N91" s="77" t="s">
        <v>34</v>
      </c>
      <c r="O91" s="77" t="s">
        <v>161</v>
      </c>
    </row>
    <row r="92" spans="1:15" ht="48" x14ac:dyDescent="0.3">
      <c r="A92" s="1"/>
      <c r="B92" s="2" t="s">
        <v>2</v>
      </c>
      <c r="C92" s="2" t="s">
        <v>208</v>
      </c>
      <c r="D92" s="10" t="s">
        <v>1028</v>
      </c>
      <c r="E92" s="2" t="s">
        <v>16</v>
      </c>
      <c r="F92" s="4">
        <v>45365</v>
      </c>
      <c r="G92" s="2" t="s">
        <v>5</v>
      </c>
      <c r="H92" s="2">
        <v>0</v>
      </c>
      <c r="I92" s="2">
        <v>3</v>
      </c>
      <c r="J92" s="2">
        <v>9</v>
      </c>
      <c r="K92" s="2">
        <v>0</v>
      </c>
      <c r="L92" s="2">
        <v>12</v>
      </c>
      <c r="M92" s="2" t="s">
        <v>146</v>
      </c>
      <c r="N92" s="65" t="s">
        <v>12</v>
      </c>
      <c r="O92" s="2" t="s">
        <v>148</v>
      </c>
    </row>
    <row r="93" spans="1:15" s="85" customFormat="1" ht="91.5" customHeight="1" x14ac:dyDescent="0.3">
      <c r="A93" s="86"/>
      <c r="B93" s="87" t="s">
        <v>175</v>
      </c>
      <c r="C93" s="87" t="s">
        <v>174</v>
      </c>
      <c r="D93" s="10" t="s">
        <v>84</v>
      </c>
      <c r="E93" s="87" t="s">
        <v>4</v>
      </c>
      <c r="F93" s="88">
        <v>45366</v>
      </c>
      <c r="G93" s="87" t="s">
        <v>5</v>
      </c>
      <c r="H93" s="87">
        <v>34</v>
      </c>
      <c r="I93" s="87">
        <v>1</v>
      </c>
      <c r="J93" s="87">
        <v>8</v>
      </c>
      <c r="K93" s="87">
        <v>7</v>
      </c>
      <c r="L93" s="87">
        <v>50</v>
      </c>
      <c r="M93" s="87" t="s">
        <v>176</v>
      </c>
      <c r="N93" s="89" t="s">
        <v>12</v>
      </c>
      <c r="O93" s="87" t="s">
        <v>177</v>
      </c>
    </row>
    <row r="94" spans="1:15" s="91" customFormat="1" ht="129.75" customHeight="1" x14ac:dyDescent="0.3">
      <c r="A94" s="92"/>
      <c r="B94" s="93" t="s">
        <v>8</v>
      </c>
      <c r="C94" s="93" t="s">
        <v>196</v>
      </c>
      <c r="D94" s="10" t="s">
        <v>1028</v>
      </c>
      <c r="E94" s="8" t="s">
        <v>4</v>
      </c>
      <c r="F94" s="94">
        <v>45366</v>
      </c>
      <c r="G94" s="93" t="s">
        <v>5</v>
      </c>
      <c r="H94" s="93">
        <v>4</v>
      </c>
      <c r="I94" s="93">
        <v>0</v>
      </c>
      <c r="J94" s="93">
        <v>2</v>
      </c>
      <c r="K94" s="93">
        <v>15</v>
      </c>
      <c r="L94" s="93">
        <f>SUM(H94:K94)</f>
        <v>21</v>
      </c>
      <c r="M94" s="93" t="s">
        <v>195</v>
      </c>
      <c r="N94" s="93" t="s">
        <v>12</v>
      </c>
      <c r="O94" s="93" t="s">
        <v>194</v>
      </c>
    </row>
    <row r="95" spans="1:15" s="63" customFormat="1" ht="111.75" customHeight="1" x14ac:dyDescent="0.3">
      <c r="A95" s="64"/>
      <c r="B95" s="65" t="s">
        <v>2</v>
      </c>
      <c r="C95" s="65" t="s">
        <v>150</v>
      </c>
      <c r="D95" s="10" t="s">
        <v>1028</v>
      </c>
      <c r="E95" s="65" t="s">
        <v>4</v>
      </c>
      <c r="F95" s="66">
        <v>45369</v>
      </c>
      <c r="G95" s="65" t="s">
        <v>5</v>
      </c>
      <c r="H95" s="65">
        <v>1</v>
      </c>
      <c r="I95" s="65">
        <v>1</v>
      </c>
      <c r="J95" s="65">
        <v>21</v>
      </c>
      <c r="K95" s="65">
        <v>0</v>
      </c>
      <c r="L95" s="65">
        <v>23</v>
      </c>
      <c r="M95" s="65" t="s">
        <v>149</v>
      </c>
      <c r="N95" s="65" t="s">
        <v>12</v>
      </c>
      <c r="O95" s="65" t="s">
        <v>151</v>
      </c>
    </row>
    <row r="96" spans="1:15" s="91" customFormat="1" ht="60" x14ac:dyDescent="0.3">
      <c r="A96" s="92"/>
      <c r="B96" s="93" t="s">
        <v>8</v>
      </c>
      <c r="C96" s="25" t="s">
        <v>181</v>
      </c>
      <c r="D96" s="97" t="s">
        <v>84</v>
      </c>
      <c r="E96" s="25" t="s">
        <v>4</v>
      </c>
      <c r="F96" s="14">
        <v>45369</v>
      </c>
      <c r="G96" s="25" t="s">
        <v>182</v>
      </c>
      <c r="H96" s="25">
        <v>5</v>
      </c>
      <c r="I96" s="25">
        <v>43</v>
      </c>
      <c r="J96" s="25">
        <v>56</v>
      </c>
      <c r="K96" s="25">
        <v>0</v>
      </c>
      <c r="L96" s="25">
        <f>SUM(H96:K96)</f>
        <v>104</v>
      </c>
      <c r="M96" s="25" t="s">
        <v>6</v>
      </c>
      <c r="N96" s="25" t="s">
        <v>31</v>
      </c>
      <c r="O96" s="25" t="s">
        <v>183</v>
      </c>
    </row>
    <row r="97" spans="1:15" ht="36" x14ac:dyDescent="0.3">
      <c r="A97" s="1"/>
      <c r="B97" s="65" t="s">
        <v>2</v>
      </c>
      <c r="C97" s="2" t="s">
        <v>844</v>
      </c>
      <c r="D97" s="10" t="s">
        <v>1028</v>
      </c>
      <c r="E97" s="2" t="s">
        <v>4</v>
      </c>
      <c r="F97" s="4">
        <v>45371</v>
      </c>
      <c r="G97" s="2" t="s">
        <v>5</v>
      </c>
      <c r="H97" s="2">
        <v>1</v>
      </c>
      <c r="I97" s="2">
        <v>11</v>
      </c>
      <c r="J97" s="2">
        <v>33</v>
      </c>
      <c r="K97" s="2">
        <v>0</v>
      </c>
      <c r="L97" s="2">
        <v>44</v>
      </c>
      <c r="M97" s="2" t="s">
        <v>147</v>
      </c>
      <c r="N97" s="65" t="s">
        <v>12</v>
      </c>
      <c r="O97" s="2" t="s">
        <v>749</v>
      </c>
    </row>
    <row r="98" spans="1:15" s="91" customFormat="1" ht="72" x14ac:dyDescent="0.3">
      <c r="A98" s="92"/>
      <c r="B98" s="25" t="s">
        <v>2</v>
      </c>
      <c r="C98" s="25" t="s">
        <v>180</v>
      </c>
      <c r="D98" s="97" t="s">
        <v>1028</v>
      </c>
      <c r="E98" s="25" t="s">
        <v>4</v>
      </c>
      <c r="F98" s="14">
        <v>45371</v>
      </c>
      <c r="G98" s="25" t="s">
        <v>5</v>
      </c>
      <c r="H98" s="25">
        <v>18</v>
      </c>
      <c r="I98" s="25">
        <v>157</v>
      </c>
      <c r="J98" s="25">
        <v>210</v>
      </c>
      <c r="K98" s="25">
        <v>31</v>
      </c>
      <c r="L98" s="25">
        <f>SUM(H98:K98)</f>
        <v>416</v>
      </c>
      <c r="M98" s="25" t="s">
        <v>6</v>
      </c>
      <c r="N98" s="25" t="s">
        <v>12</v>
      </c>
      <c r="O98" s="25" t="s">
        <v>197</v>
      </c>
    </row>
    <row r="99" spans="1:15" s="83" customFormat="1" ht="120" x14ac:dyDescent="0.3">
      <c r="A99" s="80"/>
      <c r="B99" s="84" t="s">
        <v>2</v>
      </c>
      <c r="C99" s="84" t="s">
        <v>170</v>
      </c>
      <c r="D99" s="10" t="s">
        <v>1028</v>
      </c>
      <c r="E99" s="84" t="s">
        <v>4</v>
      </c>
      <c r="F99" s="82">
        <v>45372</v>
      </c>
      <c r="G99" s="84" t="s">
        <v>5</v>
      </c>
      <c r="H99" s="84">
        <v>7</v>
      </c>
      <c r="I99" s="84">
        <v>2</v>
      </c>
      <c r="J99" s="84">
        <v>17</v>
      </c>
      <c r="K99" s="84">
        <v>22</v>
      </c>
      <c r="L99" s="84">
        <v>48</v>
      </c>
      <c r="M99" s="84" t="s">
        <v>178</v>
      </c>
      <c r="N99" s="90" t="s">
        <v>12</v>
      </c>
      <c r="O99" s="84" t="s">
        <v>179</v>
      </c>
    </row>
    <row r="100" spans="1:15" s="257" customFormat="1" ht="48" x14ac:dyDescent="0.3">
      <c r="A100" s="243"/>
      <c r="B100" s="240" t="s">
        <v>2</v>
      </c>
      <c r="C100" s="240" t="s">
        <v>845</v>
      </c>
      <c r="D100" s="140" t="s">
        <v>1028</v>
      </c>
      <c r="E100" s="240" t="s">
        <v>4</v>
      </c>
      <c r="F100" s="242">
        <v>45372</v>
      </c>
      <c r="G100" s="240" t="s">
        <v>5</v>
      </c>
      <c r="H100" s="240">
        <v>0</v>
      </c>
      <c r="I100" s="240">
        <v>1</v>
      </c>
      <c r="J100" s="240">
        <v>4</v>
      </c>
      <c r="K100" s="240">
        <v>0</v>
      </c>
      <c r="L100" s="240">
        <v>5</v>
      </c>
      <c r="M100" s="240" t="s">
        <v>11</v>
      </c>
      <c r="N100" s="202" t="s">
        <v>12</v>
      </c>
      <c r="O100" s="240" t="s">
        <v>846</v>
      </c>
    </row>
    <row r="101" spans="1:15" s="113" customFormat="1" ht="48" x14ac:dyDescent="0.3">
      <c r="A101" s="116"/>
      <c r="B101" s="114" t="s">
        <v>3</v>
      </c>
      <c r="C101" s="114" t="s">
        <v>221</v>
      </c>
      <c r="D101" s="10" t="s">
        <v>1028</v>
      </c>
      <c r="E101" s="114" t="s">
        <v>4</v>
      </c>
      <c r="F101" s="115">
        <v>45373</v>
      </c>
      <c r="G101" s="114" t="s">
        <v>222</v>
      </c>
      <c r="H101" s="114">
        <v>1</v>
      </c>
      <c r="I101" s="114">
        <v>0</v>
      </c>
      <c r="J101" s="114">
        <v>20</v>
      </c>
      <c r="K101" s="114">
        <v>0</v>
      </c>
      <c r="L101" s="114">
        <v>21</v>
      </c>
      <c r="M101" s="114" t="s">
        <v>62</v>
      </c>
      <c r="N101" s="114" t="s">
        <v>12</v>
      </c>
      <c r="O101" s="114" t="s">
        <v>223</v>
      </c>
    </row>
    <row r="102" spans="1:15" s="83" customFormat="1" ht="60" x14ac:dyDescent="0.3">
      <c r="A102" s="80"/>
      <c r="B102" s="84" t="s">
        <v>60</v>
      </c>
      <c r="C102" s="84" t="s">
        <v>169</v>
      </c>
      <c r="D102" s="10" t="s">
        <v>1028</v>
      </c>
      <c r="E102" s="84" t="s">
        <v>4</v>
      </c>
      <c r="F102" s="82">
        <v>45374</v>
      </c>
      <c r="G102" s="84" t="s">
        <v>168</v>
      </c>
      <c r="H102" s="84">
        <v>17</v>
      </c>
      <c r="I102" s="84">
        <v>2</v>
      </c>
      <c r="J102" s="84">
        <v>3</v>
      </c>
      <c r="K102" s="84">
        <v>0</v>
      </c>
      <c r="L102" s="84">
        <f>SUM(H102:K102)</f>
        <v>22</v>
      </c>
      <c r="M102" s="84" t="s">
        <v>167</v>
      </c>
      <c r="N102" s="84" t="s">
        <v>31</v>
      </c>
      <c r="O102" s="84" t="s">
        <v>166</v>
      </c>
    </row>
    <row r="103" spans="1:15" ht="36" x14ac:dyDescent="0.3">
      <c r="A103" s="1"/>
      <c r="B103" s="2" t="s">
        <v>2</v>
      </c>
      <c r="C103" s="2" t="s">
        <v>162</v>
      </c>
      <c r="D103" s="10" t="s">
        <v>1028</v>
      </c>
      <c r="E103" s="2" t="s">
        <v>4</v>
      </c>
      <c r="F103" s="4">
        <v>45378</v>
      </c>
      <c r="G103" s="2" t="s">
        <v>5</v>
      </c>
      <c r="H103" s="2">
        <v>0</v>
      </c>
      <c r="I103" s="2">
        <v>1</v>
      </c>
      <c r="J103" s="2">
        <v>4</v>
      </c>
      <c r="K103" s="2">
        <v>0</v>
      </c>
      <c r="L103" s="2">
        <v>5</v>
      </c>
      <c r="M103" s="81" t="s">
        <v>11</v>
      </c>
      <c r="N103" s="81" t="s">
        <v>12</v>
      </c>
      <c r="O103" s="2" t="s">
        <v>723</v>
      </c>
    </row>
    <row r="104" spans="1:15" ht="60" x14ac:dyDescent="0.3">
      <c r="A104" s="1"/>
      <c r="B104" s="2" t="s">
        <v>2</v>
      </c>
      <c r="C104" s="2" t="s">
        <v>201</v>
      </c>
      <c r="D104" s="2" t="s">
        <v>1028</v>
      </c>
      <c r="E104" s="2" t="s">
        <v>4</v>
      </c>
      <c r="F104" s="4">
        <v>45378</v>
      </c>
      <c r="G104" s="2" t="s">
        <v>163</v>
      </c>
      <c r="H104" s="2">
        <v>0</v>
      </c>
      <c r="I104" s="2">
        <v>0</v>
      </c>
      <c r="J104" s="2">
        <v>11</v>
      </c>
      <c r="K104" s="2">
        <v>0</v>
      </c>
      <c r="L104" s="2">
        <v>11</v>
      </c>
      <c r="M104" s="2" t="s">
        <v>108</v>
      </c>
      <c r="N104" s="84" t="s">
        <v>12</v>
      </c>
      <c r="O104" s="2" t="s">
        <v>202</v>
      </c>
    </row>
    <row r="105" spans="1:15" ht="72" x14ac:dyDescent="0.3">
      <c r="A105" s="103"/>
      <c r="B105" s="117" t="s">
        <v>3</v>
      </c>
      <c r="C105" s="117" t="s">
        <v>164</v>
      </c>
      <c r="D105" s="117" t="s">
        <v>1028</v>
      </c>
      <c r="E105" s="117" t="s">
        <v>4</v>
      </c>
      <c r="F105" s="118">
        <v>45381</v>
      </c>
      <c r="G105" s="117" t="s">
        <v>5</v>
      </c>
      <c r="H105" s="117">
        <v>0</v>
      </c>
      <c r="I105" s="117">
        <v>0</v>
      </c>
      <c r="J105" s="117">
        <v>6</v>
      </c>
      <c r="K105" s="117">
        <v>36</v>
      </c>
      <c r="L105" s="117">
        <f>SUM(H105:K105)</f>
        <v>42</v>
      </c>
      <c r="M105" s="117" t="s">
        <v>165</v>
      </c>
      <c r="N105" s="117" t="s">
        <v>12</v>
      </c>
      <c r="O105" s="117" t="s">
        <v>224</v>
      </c>
    </row>
    <row r="106" spans="1:15" s="104" customFormat="1" ht="48" x14ac:dyDescent="0.3">
      <c r="A106" s="103"/>
      <c r="B106" s="108" t="s">
        <v>2</v>
      </c>
      <c r="C106" s="25" t="s">
        <v>206</v>
      </c>
      <c r="D106" s="108" t="s">
        <v>1028</v>
      </c>
      <c r="E106" s="25" t="s">
        <v>16</v>
      </c>
      <c r="F106" s="14">
        <v>45382</v>
      </c>
      <c r="G106" s="25" t="s">
        <v>5</v>
      </c>
      <c r="H106" s="25">
        <v>0</v>
      </c>
      <c r="I106" s="25">
        <v>2</v>
      </c>
      <c r="J106" s="25">
        <v>9</v>
      </c>
      <c r="K106" s="25">
        <v>0</v>
      </c>
      <c r="L106" s="25">
        <v>11</v>
      </c>
      <c r="M106" s="108" t="s">
        <v>146</v>
      </c>
      <c r="N106" s="25" t="s">
        <v>205</v>
      </c>
      <c r="O106" s="25" t="s">
        <v>207</v>
      </c>
    </row>
    <row r="107" spans="1:15" ht="72" x14ac:dyDescent="0.3">
      <c r="A107" s="1"/>
      <c r="B107" s="2" t="s">
        <v>2</v>
      </c>
      <c r="C107" s="2" t="s">
        <v>203</v>
      </c>
      <c r="D107" s="105" t="s">
        <v>1028</v>
      </c>
      <c r="E107" s="2" t="s">
        <v>4</v>
      </c>
      <c r="F107" s="4">
        <v>45383</v>
      </c>
      <c r="G107" s="2" t="s">
        <v>5</v>
      </c>
      <c r="H107" s="2">
        <v>0</v>
      </c>
      <c r="I107" s="2">
        <v>4</v>
      </c>
      <c r="J107" s="2">
        <v>8</v>
      </c>
      <c r="K107" s="2">
        <v>0</v>
      </c>
      <c r="L107" s="2">
        <v>12</v>
      </c>
      <c r="M107" s="2" t="str">
        <f>$M$103</f>
        <v>Клуб настольных игр КБГУ</v>
      </c>
      <c r="N107" s="25" t="s">
        <v>12</v>
      </c>
      <c r="O107" s="2" t="s">
        <v>750</v>
      </c>
    </row>
    <row r="108" spans="1:15" s="113" customFormat="1" ht="82.5" customHeight="1" x14ac:dyDescent="0.3">
      <c r="A108" s="116"/>
      <c r="B108" s="114" t="s">
        <v>227</v>
      </c>
      <c r="C108" s="114" t="s">
        <v>249</v>
      </c>
      <c r="D108" s="114" t="s">
        <v>1028</v>
      </c>
      <c r="E108" s="114" t="s">
        <v>4</v>
      </c>
      <c r="F108" s="115" t="s">
        <v>228</v>
      </c>
      <c r="G108" s="114" t="s">
        <v>225</v>
      </c>
      <c r="H108" s="114">
        <v>0</v>
      </c>
      <c r="I108" s="114">
        <v>60</v>
      </c>
      <c r="J108" s="114">
        <v>20</v>
      </c>
      <c r="K108" s="114">
        <v>0</v>
      </c>
      <c r="L108" s="114">
        <v>80</v>
      </c>
      <c r="M108" s="114" t="s">
        <v>134</v>
      </c>
      <c r="N108" s="117" t="s">
        <v>12</v>
      </c>
      <c r="O108" s="114" t="s">
        <v>226</v>
      </c>
    </row>
    <row r="109" spans="1:15" ht="48" x14ac:dyDescent="0.3">
      <c r="A109" s="1"/>
      <c r="B109" s="2" t="s">
        <v>2</v>
      </c>
      <c r="C109" s="2" t="s">
        <v>204</v>
      </c>
      <c r="D109" s="105" t="s">
        <v>1028</v>
      </c>
      <c r="E109" s="2" t="s">
        <v>4</v>
      </c>
      <c r="F109" s="4">
        <v>45385</v>
      </c>
      <c r="G109" s="2" t="s">
        <v>5</v>
      </c>
      <c r="H109" s="2">
        <v>0</v>
      </c>
      <c r="I109" s="2">
        <v>5</v>
      </c>
      <c r="J109" s="2">
        <v>5</v>
      </c>
      <c r="K109" s="2">
        <v>0</v>
      </c>
      <c r="L109" s="2">
        <v>10</v>
      </c>
      <c r="M109" s="105" t="str">
        <f>$M$103</f>
        <v>Клуб настольных игр КБГУ</v>
      </c>
      <c r="N109" s="25" t="s">
        <v>12</v>
      </c>
      <c r="O109" s="202" t="s">
        <v>750</v>
      </c>
    </row>
    <row r="110" spans="1:15" ht="96" x14ac:dyDescent="0.3">
      <c r="A110" s="1"/>
      <c r="B110" s="2" t="s">
        <v>60</v>
      </c>
      <c r="C110" s="2" t="s">
        <v>213</v>
      </c>
      <c r="D110" s="2" t="s">
        <v>84</v>
      </c>
      <c r="E110" s="108" t="s">
        <v>4</v>
      </c>
      <c r="F110" s="4">
        <v>45385</v>
      </c>
      <c r="G110" s="2" t="s">
        <v>214</v>
      </c>
      <c r="H110" s="2">
        <v>70</v>
      </c>
      <c r="I110" s="2">
        <v>15</v>
      </c>
      <c r="J110" s="2">
        <v>45</v>
      </c>
      <c r="K110" s="2">
        <v>10</v>
      </c>
      <c r="L110" s="2">
        <f>SUM(H110:K110)</f>
        <v>140</v>
      </c>
      <c r="M110" s="2" t="s">
        <v>6</v>
      </c>
      <c r="N110" s="2" t="s">
        <v>34</v>
      </c>
      <c r="O110" s="2" t="s">
        <v>215</v>
      </c>
    </row>
    <row r="111" spans="1:15" ht="48" x14ac:dyDescent="0.3">
      <c r="A111" s="1"/>
      <c r="B111" s="114" t="s">
        <v>227</v>
      </c>
      <c r="C111" s="2" t="s">
        <v>248</v>
      </c>
      <c r="D111" s="114" t="s">
        <v>1028</v>
      </c>
      <c r="E111" s="114" t="s">
        <v>4</v>
      </c>
      <c r="F111" s="4" t="s">
        <v>230</v>
      </c>
      <c r="G111" s="2" t="s">
        <v>225</v>
      </c>
      <c r="H111" s="2">
        <v>0</v>
      </c>
      <c r="I111" s="2">
        <v>90</v>
      </c>
      <c r="J111" s="2">
        <v>10</v>
      </c>
      <c r="K111" s="2">
        <v>10</v>
      </c>
      <c r="L111" s="2">
        <v>110</v>
      </c>
      <c r="M111" s="2" t="s">
        <v>134</v>
      </c>
      <c r="N111" s="117" t="s">
        <v>12</v>
      </c>
      <c r="O111" s="2" t="s">
        <v>229</v>
      </c>
    </row>
    <row r="112" spans="1:15" s="119" customFormat="1" ht="72" x14ac:dyDescent="0.3">
      <c r="A112" s="120"/>
      <c r="B112" s="121" t="s">
        <v>2</v>
      </c>
      <c r="C112" s="121" t="s">
        <v>239</v>
      </c>
      <c r="D112" s="121" t="s">
        <v>1028</v>
      </c>
      <c r="E112" s="121" t="s">
        <v>16</v>
      </c>
      <c r="F112" s="122">
        <v>45387</v>
      </c>
      <c r="G112" s="121" t="s">
        <v>240</v>
      </c>
      <c r="H112" s="121">
        <v>0</v>
      </c>
      <c r="I112" s="121">
        <v>3</v>
      </c>
      <c r="J112" s="121">
        <v>10</v>
      </c>
      <c r="K112" s="121"/>
      <c r="L112" s="121">
        <v>13</v>
      </c>
      <c r="M112" s="121" t="s">
        <v>108</v>
      </c>
      <c r="N112" s="128" t="s">
        <v>12</v>
      </c>
      <c r="O112" s="121" t="s">
        <v>241</v>
      </c>
    </row>
    <row r="113" spans="1:15" ht="48" x14ac:dyDescent="0.3">
      <c r="A113" s="1"/>
      <c r="B113" s="2" t="s">
        <v>175</v>
      </c>
      <c r="C113" s="2" t="s">
        <v>231</v>
      </c>
      <c r="D113" s="121" t="s">
        <v>1028</v>
      </c>
      <c r="E113" s="2" t="s">
        <v>4</v>
      </c>
      <c r="F113" s="4">
        <v>45387</v>
      </c>
      <c r="G113" s="2" t="s">
        <v>92</v>
      </c>
      <c r="H113" s="2">
        <v>0</v>
      </c>
      <c r="I113" s="2">
        <v>2</v>
      </c>
      <c r="J113" s="2">
        <v>8</v>
      </c>
      <c r="K113" s="2">
        <v>8</v>
      </c>
      <c r="L113" s="2">
        <f>SUM(H113:K113)</f>
        <v>18</v>
      </c>
      <c r="M113" s="2" t="s">
        <v>7</v>
      </c>
      <c r="N113" s="117" t="s">
        <v>12</v>
      </c>
      <c r="O113" s="2" t="s">
        <v>234</v>
      </c>
    </row>
    <row r="114" spans="1:15" s="125" customFormat="1" ht="180" x14ac:dyDescent="0.3">
      <c r="A114" s="123"/>
      <c r="B114" s="129" t="s">
        <v>8</v>
      </c>
      <c r="C114" s="129" t="s">
        <v>258</v>
      </c>
      <c r="D114" s="131" t="s">
        <v>1028</v>
      </c>
      <c r="E114" s="131" t="s">
        <v>4</v>
      </c>
      <c r="F114" s="130">
        <v>45387</v>
      </c>
      <c r="G114" s="129" t="s">
        <v>5</v>
      </c>
      <c r="H114" s="129">
        <v>0</v>
      </c>
      <c r="I114" s="129">
        <v>40</v>
      </c>
      <c r="J114" s="129">
        <v>60</v>
      </c>
      <c r="K114" s="129">
        <v>0</v>
      </c>
      <c r="L114" s="129">
        <v>100</v>
      </c>
      <c r="M114" s="131" t="s">
        <v>6</v>
      </c>
      <c r="N114" s="128" t="s">
        <v>12</v>
      </c>
      <c r="O114" s="129" t="s">
        <v>257</v>
      </c>
    </row>
    <row r="115" spans="1:15" ht="72" x14ac:dyDescent="0.3">
      <c r="A115" s="1"/>
      <c r="B115" s="2" t="s">
        <v>232</v>
      </c>
      <c r="C115" s="2" t="s">
        <v>233</v>
      </c>
      <c r="D115" s="121" t="s">
        <v>1028</v>
      </c>
      <c r="E115" s="2" t="s">
        <v>4</v>
      </c>
      <c r="F115" s="4">
        <v>45388</v>
      </c>
      <c r="G115" s="2" t="s">
        <v>5</v>
      </c>
      <c r="H115" s="2">
        <v>0</v>
      </c>
      <c r="I115" s="2">
        <v>1</v>
      </c>
      <c r="J115" s="2">
        <v>4</v>
      </c>
      <c r="K115" s="2">
        <v>30</v>
      </c>
      <c r="L115" s="2">
        <f>SUM(H115:K115)</f>
        <v>35</v>
      </c>
      <c r="M115" s="117" t="s">
        <v>165</v>
      </c>
      <c r="N115" s="117" t="s">
        <v>12</v>
      </c>
      <c r="O115" s="2" t="s">
        <v>235</v>
      </c>
    </row>
    <row r="116" spans="1:15" ht="36" x14ac:dyDescent="0.3">
      <c r="A116" s="1"/>
      <c r="B116" s="121" t="s">
        <v>3</v>
      </c>
      <c r="C116" s="121" t="s">
        <v>236</v>
      </c>
      <c r="D116" s="121" t="s">
        <v>1028</v>
      </c>
      <c r="E116" s="121" t="s">
        <v>4</v>
      </c>
      <c r="F116" s="9">
        <v>45389</v>
      </c>
      <c r="G116" s="121" t="s">
        <v>237</v>
      </c>
      <c r="H116" s="121">
        <v>1</v>
      </c>
      <c r="I116" s="121">
        <v>0</v>
      </c>
      <c r="J116" s="121">
        <v>20</v>
      </c>
      <c r="K116" s="121">
        <v>0</v>
      </c>
      <c r="L116" s="121">
        <v>21</v>
      </c>
      <c r="M116" s="121" t="s">
        <v>62</v>
      </c>
      <c r="N116" s="121" t="s">
        <v>12</v>
      </c>
      <c r="O116" s="121" t="s">
        <v>238</v>
      </c>
    </row>
    <row r="117" spans="1:15" s="125" customFormat="1" ht="48" x14ac:dyDescent="0.3">
      <c r="A117" s="123"/>
      <c r="B117" s="127" t="s">
        <v>3</v>
      </c>
      <c r="C117" s="126" t="s">
        <v>247</v>
      </c>
      <c r="D117" s="127" t="s">
        <v>1028</v>
      </c>
      <c r="E117" s="127" t="s">
        <v>4</v>
      </c>
      <c r="F117" s="124" t="s">
        <v>259</v>
      </c>
      <c r="G117" s="126" t="s">
        <v>225</v>
      </c>
      <c r="H117" s="126">
        <v>0</v>
      </c>
      <c r="I117" s="126">
        <v>100</v>
      </c>
      <c r="J117" s="126">
        <v>10</v>
      </c>
      <c r="K117" s="126">
        <v>0</v>
      </c>
      <c r="L117" s="126">
        <f>SUM(H117:K117)</f>
        <v>110</v>
      </c>
      <c r="M117" s="126" t="s">
        <v>134</v>
      </c>
      <c r="N117" s="128" t="s">
        <v>205</v>
      </c>
      <c r="O117" s="126" t="s">
        <v>250</v>
      </c>
    </row>
    <row r="118" spans="1:15" ht="60" x14ac:dyDescent="0.3">
      <c r="A118" s="1"/>
      <c r="B118" s="126" t="s">
        <v>2</v>
      </c>
      <c r="C118" s="2" t="s">
        <v>242</v>
      </c>
      <c r="D118" s="126" t="s">
        <v>1028</v>
      </c>
      <c r="E118" s="2" t="s">
        <v>4</v>
      </c>
      <c r="F118" s="4">
        <v>45391</v>
      </c>
      <c r="G118" s="2" t="s">
        <v>5</v>
      </c>
      <c r="H118" s="2">
        <v>0</v>
      </c>
      <c r="I118" s="2">
        <v>13</v>
      </c>
      <c r="J118" s="2">
        <v>26</v>
      </c>
      <c r="K118" s="2">
        <v>0</v>
      </c>
      <c r="L118" s="2">
        <f>SUM(H118:K118)</f>
        <v>39</v>
      </c>
      <c r="M118" s="126" t="s">
        <v>146</v>
      </c>
      <c r="N118" s="128" t="s">
        <v>205</v>
      </c>
      <c r="O118" s="2" t="s">
        <v>243</v>
      </c>
    </row>
    <row r="119" spans="1:15" s="206" customFormat="1" ht="60" x14ac:dyDescent="0.3">
      <c r="A119" s="211"/>
      <c r="B119" s="212" t="s">
        <v>2</v>
      </c>
      <c r="C119" s="212" t="s">
        <v>532</v>
      </c>
      <c r="D119" s="202" t="s">
        <v>1028</v>
      </c>
      <c r="E119" s="212" t="s">
        <v>16</v>
      </c>
      <c r="F119" s="213">
        <v>45391</v>
      </c>
      <c r="G119" s="212" t="s">
        <v>240</v>
      </c>
      <c r="H119" s="212">
        <v>0</v>
      </c>
      <c r="I119" s="212">
        <v>4</v>
      </c>
      <c r="J119" s="212">
        <v>6</v>
      </c>
      <c r="K119" s="212">
        <v>0</v>
      </c>
      <c r="L119" s="212">
        <v>10</v>
      </c>
      <c r="M119" s="212" t="s">
        <v>528</v>
      </c>
      <c r="N119" s="207" t="s">
        <v>205</v>
      </c>
      <c r="O119" s="212" t="s">
        <v>533</v>
      </c>
    </row>
    <row r="120" spans="1:15" ht="48" x14ac:dyDescent="0.3">
      <c r="A120" s="1"/>
      <c r="B120" s="2" t="s">
        <v>8</v>
      </c>
      <c r="C120" s="2" t="s">
        <v>246</v>
      </c>
      <c r="D120" s="126" t="s">
        <v>1028</v>
      </c>
      <c r="E120" s="126" t="s">
        <v>4</v>
      </c>
      <c r="F120" s="4">
        <v>45393</v>
      </c>
      <c r="G120" s="126" t="s">
        <v>5</v>
      </c>
      <c r="H120" s="2">
        <v>8</v>
      </c>
      <c r="I120" s="2">
        <v>62</v>
      </c>
      <c r="J120" s="2">
        <v>102</v>
      </c>
      <c r="K120" s="2">
        <v>30</v>
      </c>
      <c r="L120" s="2">
        <f>SUM(H120:K120)</f>
        <v>202</v>
      </c>
      <c r="M120" s="126" t="s">
        <v>244</v>
      </c>
      <c r="N120" s="126" t="s">
        <v>34</v>
      </c>
      <c r="O120" s="2" t="s">
        <v>245</v>
      </c>
    </row>
    <row r="121" spans="1:15" s="132" customFormat="1" ht="84" x14ac:dyDescent="0.3">
      <c r="A121" s="123"/>
      <c r="B121" s="135" t="s">
        <v>175</v>
      </c>
      <c r="C121" s="135" t="s">
        <v>284</v>
      </c>
      <c r="D121" s="143" t="s">
        <v>1028</v>
      </c>
      <c r="E121" s="135" t="s">
        <v>4</v>
      </c>
      <c r="F121" s="134">
        <v>45394</v>
      </c>
      <c r="G121" s="135" t="s">
        <v>92</v>
      </c>
      <c r="H121" s="135">
        <v>0</v>
      </c>
      <c r="I121" s="135">
        <v>1</v>
      </c>
      <c r="J121" s="135">
        <v>7</v>
      </c>
      <c r="K121" s="135">
        <v>5</v>
      </c>
      <c r="L121" s="135">
        <f>SUM(H121:K121)</f>
        <v>13</v>
      </c>
      <c r="M121" s="135" t="s">
        <v>285</v>
      </c>
      <c r="N121" s="136" t="s">
        <v>205</v>
      </c>
      <c r="O121" s="135" t="s">
        <v>286</v>
      </c>
    </row>
    <row r="122" spans="1:15" s="144" customFormat="1" ht="48" x14ac:dyDescent="0.3">
      <c r="A122" s="145"/>
      <c r="B122" s="146" t="s">
        <v>2</v>
      </c>
      <c r="C122" s="146" t="s">
        <v>288</v>
      </c>
      <c r="D122" s="146" t="s">
        <v>1028</v>
      </c>
      <c r="E122" s="146" t="s">
        <v>4</v>
      </c>
      <c r="F122" s="147">
        <v>45398</v>
      </c>
      <c r="G122" s="146" t="s">
        <v>5</v>
      </c>
      <c r="H122" s="146">
        <v>0</v>
      </c>
      <c r="I122" s="146">
        <v>1</v>
      </c>
      <c r="J122" s="146">
        <v>3</v>
      </c>
      <c r="K122" s="146">
        <v>0</v>
      </c>
      <c r="L122" s="146">
        <v>4</v>
      </c>
      <c r="M122" s="146" t="s">
        <v>11</v>
      </c>
      <c r="N122" s="136" t="s">
        <v>205</v>
      </c>
      <c r="O122" s="202" t="s">
        <v>750</v>
      </c>
    </row>
    <row r="123" spans="1:15" s="132" customFormat="1" ht="123" customHeight="1" x14ac:dyDescent="0.3">
      <c r="A123" s="123"/>
      <c r="B123" s="133" t="s">
        <v>3</v>
      </c>
      <c r="C123" s="133" t="s">
        <v>260</v>
      </c>
      <c r="D123" s="133" t="s">
        <v>1028</v>
      </c>
      <c r="E123" s="133" t="s">
        <v>4</v>
      </c>
      <c r="F123" s="134" t="s">
        <v>261</v>
      </c>
      <c r="G123" s="133" t="s">
        <v>225</v>
      </c>
      <c r="H123" s="133">
        <v>0</v>
      </c>
      <c r="I123" s="133">
        <v>10</v>
      </c>
      <c r="J123" s="133">
        <v>50</v>
      </c>
      <c r="K123" s="133">
        <v>0</v>
      </c>
      <c r="L123" s="133">
        <v>60</v>
      </c>
      <c r="M123" s="133" t="s">
        <v>134</v>
      </c>
      <c r="N123" s="128" t="s">
        <v>205</v>
      </c>
      <c r="O123" s="133" t="s">
        <v>262</v>
      </c>
    </row>
    <row r="124" spans="1:15" s="132" customFormat="1" ht="123" customHeight="1" x14ac:dyDescent="0.3">
      <c r="A124" s="123"/>
      <c r="B124" s="140" t="s">
        <v>8</v>
      </c>
      <c r="C124" s="139" t="s">
        <v>283</v>
      </c>
      <c r="D124" s="140" t="s">
        <v>280</v>
      </c>
      <c r="E124" s="137" t="s">
        <v>15</v>
      </c>
      <c r="F124" s="134">
        <v>45399</v>
      </c>
      <c r="G124" s="135" t="s">
        <v>281</v>
      </c>
      <c r="H124" s="135">
        <v>0</v>
      </c>
      <c r="I124" s="135">
        <v>80</v>
      </c>
      <c r="J124" s="135">
        <v>75</v>
      </c>
      <c r="K124" s="135">
        <v>0</v>
      </c>
      <c r="L124" s="135">
        <v>155</v>
      </c>
      <c r="M124" s="136" t="s">
        <v>806</v>
      </c>
      <c r="N124" s="136" t="s">
        <v>205</v>
      </c>
      <c r="O124" s="138" t="s">
        <v>282</v>
      </c>
    </row>
    <row r="125" spans="1:15" s="132" customFormat="1" ht="123" customHeight="1" x14ac:dyDescent="0.3">
      <c r="A125" s="123"/>
      <c r="B125" s="133" t="s">
        <v>3</v>
      </c>
      <c r="C125" s="133" t="s">
        <v>263</v>
      </c>
      <c r="D125" s="133" t="s">
        <v>1028</v>
      </c>
      <c r="E125" s="133" t="s">
        <v>4</v>
      </c>
      <c r="F125" s="134" t="s">
        <v>265</v>
      </c>
      <c r="G125" s="133" t="s">
        <v>225</v>
      </c>
      <c r="H125" s="133">
        <v>0</v>
      </c>
      <c r="I125" s="133">
        <v>20</v>
      </c>
      <c r="J125" s="133">
        <v>90</v>
      </c>
      <c r="K125" s="133">
        <v>0</v>
      </c>
      <c r="L125" s="133">
        <v>110</v>
      </c>
      <c r="M125" s="133" t="s">
        <v>134</v>
      </c>
      <c r="N125" s="128" t="s">
        <v>205</v>
      </c>
      <c r="O125" s="133" t="s">
        <v>264</v>
      </c>
    </row>
    <row r="126" spans="1:15" ht="84" x14ac:dyDescent="0.3">
      <c r="A126" s="1"/>
      <c r="B126" s="154" t="s">
        <v>297</v>
      </c>
      <c r="C126" s="129" t="s">
        <v>255</v>
      </c>
      <c r="D126" s="129" t="s">
        <v>1028</v>
      </c>
      <c r="E126" s="129" t="s">
        <v>4</v>
      </c>
      <c r="F126" s="4" t="s">
        <v>253</v>
      </c>
      <c r="G126" s="129" t="s">
        <v>5</v>
      </c>
      <c r="H126" s="2">
        <v>0</v>
      </c>
      <c r="I126" s="2">
        <v>12</v>
      </c>
      <c r="J126" s="2">
        <v>42</v>
      </c>
      <c r="K126" s="2">
        <v>0</v>
      </c>
      <c r="L126" s="2">
        <v>54</v>
      </c>
      <c r="M126" s="2" t="s">
        <v>10</v>
      </c>
      <c r="N126" s="129" t="s">
        <v>34</v>
      </c>
      <c r="O126" s="2" t="s">
        <v>254</v>
      </c>
    </row>
    <row r="127" spans="1:15" ht="120" x14ac:dyDescent="0.3">
      <c r="A127" s="1"/>
      <c r="B127" s="2" t="s">
        <v>32</v>
      </c>
      <c r="C127" s="2" t="s">
        <v>255</v>
      </c>
      <c r="D127" s="129" t="s">
        <v>1028</v>
      </c>
      <c r="E127" s="129" t="s">
        <v>4</v>
      </c>
      <c r="F127" s="130" t="s">
        <v>253</v>
      </c>
      <c r="G127" s="2" t="s">
        <v>5</v>
      </c>
      <c r="H127" s="2">
        <v>23</v>
      </c>
      <c r="I127" s="2">
        <v>98</v>
      </c>
      <c r="J127" s="2">
        <v>721</v>
      </c>
      <c r="K127" s="2">
        <v>19</v>
      </c>
      <c r="L127" s="2">
        <v>861</v>
      </c>
      <c r="M127" s="2" t="s">
        <v>33</v>
      </c>
      <c r="N127" s="2" t="s">
        <v>12</v>
      </c>
      <c r="O127" s="2" t="s">
        <v>256</v>
      </c>
    </row>
    <row r="128" spans="1:15" ht="60" x14ac:dyDescent="0.3">
      <c r="A128" s="1"/>
      <c r="B128" s="133" t="s">
        <v>3</v>
      </c>
      <c r="C128" s="2" t="s">
        <v>266</v>
      </c>
      <c r="D128" s="133" t="s">
        <v>1028</v>
      </c>
      <c r="E128" s="133" t="s">
        <v>4</v>
      </c>
      <c r="F128" s="4">
        <v>45406</v>
      </c>
      <c r="G128" s="2" t="s">
        <v>225</v>
      </c>
      <c r="H128" s="2">
        <v>0</v>
      </c>
      <c r="I128" s="2">
        <v>11</v>
      </c>
      <c r="J128" s="2">
        <v>33</v>
      </c>
      <c r="K128" s="2">
        <v>0</v>
      </c>
      <c r="L128" s="2">
        <v>44</v>
      </c>
      <c r="M128" s="2" t="s">
        <v>134</v>
      </c>
      <c r="N128" s="128" t="s">
        <v>205</v>
      </c>
      <c r="O128" s="2" t="s">
        <v>267</v>
      </c>
    </row>
    <row r="129" spans="1:15" ht="72" x14ac:dyDescent="0.3">
      <c r="A129" s="1"/>
      <c r="B129" s="133" t="s">
        <v>3</v>
      </c>
      <c r="C129" s="2" t="s">
        <v>268</v>
      </c>
      <c r="D129" s="133" t="s">
        <v>1028</v>
      </c>
      <c r="E129" s="133" t="s">
        <v>4</v>
      </c>
      <c r="F129" s="4">
        <v>45407</v>
      </c>
      <c r="G129" s="2" t="s">
        <v>225</v>
      </c>
      <c r="H129" s="2">
        <v>0</v>
      </c>
      <c r="I129" s="2">
        <v>4</v>
      </c>
      <c r="J129" s="2">
        <v>12</v>
      </c>
      <c r="K129" s="2">
        <v>0</v>
      </c>
      <c r="L129" s="2">
        <v>16</v>
      </c>
      <c r="M129" s="2" t="s">
        <v>134</v>
      </c>
      <c r="N129" s="128" t="s">
        <v>205</v>
      </c>
      <c r="O129" s="2" t="s">
        <v>269</v>
      </c>
    </row>
    <row r="130" spans="1:15" ht="48" x14ac:dyDescent="0.3">
      <c r="A130" s="1"/>
      <c r="B130" s="133" t="s">
        <v>3</v>
      </c>
      <c r="C130" s="2" t="s">
        <v>270</v>
      </c>
      <c r="D130" s="133" t="s">
        <v>1028</v>
      </c>
      <c r="E130" s="133" t="s">
        <v>4</v>
      </c>
      <c r="F130" s="4">
        <v>45407</v>
      </c>
      <c r="G130" s="2" t="s">
        <v>271</v>
      </c>
      <c r="H130" s="2">
        <v>0</v>
      </c>
      <c r="I130" s="2">
        <v>4</v>
      </c>
      <c r="J130" s="2">
        <v>16</v>
      </c>
      <c r="K130" s="2">
        <v>0</v>
      </c>
      <c r="L130" s="2">
        <v>20</v>
      </c>
      <c r="M130" s="2" t="s">
        <v>134</v>
      </c>
      <c r="N130" s="128" t="s">
        <v>205</v>
      </c>
      <c r="O130" s="2" t="s">
        <v>272</v>
      </c>
    </row>
    <row r="131" spans="1:15" ht="96" x14ac:dyDescent="0.3">
      <c r="A131" s="1"/>
      <c r="B131" s="133" t="s">
        <v>3</v>
      </c>
      <c r="C131" s="2" t="s">
        <v>273</v>
      </c>
      <c r="D131" s="133" t="s">
        <v>1028</v>
      </c>
      <c r="E131" s="133" t="s">
        <v>4</v>
      </c>
      <c r="F131" s="4">
        <v>45407</v>
      </c>
      <c r="G131" s="2" t="s">
        <v>274</v>
      </c>
      <c r="H131" s="2">
        <v>0</v>
      </c>
      <c r="I131" s="2">
        <v>8</v>
      </c>
      <c r="J131" s="2">
        <v>21</v>
      </c>
      <c r="K131" s="2">
        <v>0</v>
      </c>
      <c r="L131" s="2">
        <v>29</v>
      </c>
      <c r="M131" s="2" t="s">
        <v>134</v>
      </c>
      <c r="N131" s="128" t="s">
        <v>205</v>
      </c>
      <c r="O131" s="2" t="s">
        <v>275</v>
      </c>
    </row>
    <row r="132" spans="1:15" s="132" customFormat="1" ht="96" x14ac:dyDescent="0.3">
      <c r="A132" s="123"/>
      <c r="B132" s="133" t="s">
        <v>3</v>
      </c>
      <c r="C132" s="133" t="s">
        <v>276</v>
      </c>
      <c r="D132" s="133" t="s">
        <v>1028</v>
      </c>
      <c r="E132" s="133" t="s">
        <v>4</v>
      </c>
      <c r="F132" s="134">
        <v>45408</v>
      </c>
      <c r="G132" s="133" t="s">
        <v>274</v>
      </c>
      <c r="H132" s="133">
        <v>0</v>
      </c>
      <c r="I132" s="133">
        <v>4</v>
      </c>
      <c r="J132" s="133">
        <v>5</v>
      </c>
      <c r="K132" s="133">
        <v>0</v>
      </c>
      <c r="L132" s="133">
        <v>9</v>
      </c>
      <c r="M132" s="133" t="s">
        <v>134</v>
      </c>
      <c r="N132" s="128" t="s">
        <v>205</v>
      </c>
      <c r="O132" s="133" t="s">
        <v>277</v>
      </c>
    </row>
    <row r="133" spans="1:15" ht="72" x14ac:dyDescent="0.3">
      <c r="A133" s="1"/>
      <c r="B133" s="133" t="s">
        <v>3</v>
      </c>
      <c r="C133" s="2" t="s">
        <v>278</v>
      </c>
      <c r="D133" s="133" t="s">
        <v>1028</v>
      </c>
      <c r="E133" s="133" t="s">
        <v>4</v>
      </c>
      <c r="F133" s="4">
        <v>45408</v>
      </c>
      <c r="G133" s="2" t="s">
        <v>225</v>
      </c>
      <c r="H133" s="2">
        <v>0</v>
      </c>
      <c r="I133" s="2">
        <v>2</v>
      </c>
      <c r="J133" s="2">
        <v>8</v>
      </c>
      <c r="K133" s="2">
        <v>0</v>
      </c>
      <c r="L133" s="2">
        <v>10</v>
      </c>
      <c r="M133" s="2" t="s">
        <v>134</v>
      </c>
      <c r="N133" s="128" t="s">
        <v>205</v>
      </c>
      <c r="O133" s="2" t="s">
        <v>279</v>
      </c>
    </row>
    <row r="134" spans="1:15" s="158" customFormat="1" ht="372" x14ac:dyDescent="0.3">
      <c r="A134" s="145"/>
      <c r="B134" s="159" t="s">
        <v>331</v>
      </c>
      <c r="C134" s="159" t="s">
        <v>332</v>
      </c>
      <c r="D134" s="159" t="s">
        <v>13</v>
      </c>
      <c r="E134" s="159" t="s">
        <v>4</v>
      </c>
      <c r="F134" s="155">
        <v>45410</v>
      </c>
      <c r="G134" s="159" t="s">
        <v>5</v>
      </c>
      <c r="H134" s="159">
        <v>0</v>
      </c>
      <c r="I134" s="159">
        <v>5</v>
      </c>
      <c r="J134" s="159">
        <v>93</v>
      </c>
      <c r="K134" s="159">
        <v>0</v>
      </c>
      <c r="L134" s="159">
        <f>SUM(H134:K134)</f>
        <v>98</v>
      </c>
      <c r="M134" s="159" t="s">
        <v>9</v>
      </c>
      <c r="N134" s="160" t="s">
        <v>205</v>
      </c>
      <c r="O134" s="159" t="s">
        <v>333</v>
      </c>
    </row>
    <row r="135" spans="1:15" s="158" customFormat="1" ht="372" x14ac:dyDescent="0.3">
      <c r="A135" s="145"/>
      <c r="B135" s="159" t="s">
        <v>331</v>
      </c>
      <c r="C135" s="159" t="s">
        <v>332</v>
      </c>
      <c r="D135" s="159" t="s">
        <v>13</v>
      </c>
      <c r="E135" s="159" t="s">
        <v>4</v>
      </c>
      <c r="F135" s="155">
        <v>45411</v>
      </c>
      <c r="G135" s="159" t="s">
        <v>5</v>
      </c>
      <c r="H135" s="157">
        <v>0</v>
      </c>
      <c r="I135" s="157">
        <v>5</v>
      </c>
      <c r="J135" s="157">
        <v>93</v>
      </c>
      <c r="K135" s="157">
        <v>0</v>
      </c>
      <c r="L135" s="159">
        <f>SUM(H135:K135)</f>
        <v>98</v>
      </c>
      <c r="M135" s="159" t="s">
        <v>9</v>
      </c>
      <c r="N135" s="160" t="s">
        <v>205</v>
      </c>
      <c r="O135" s="159" t="s">
        <v>333</v>
      </c>
    </row>
    <row r="136" spans="1:15" ht="120" x14ac:dyDescent="0.3">
      <c r="A136" s="1"/>
      <c r="B136" s="2" t="s">
        <v>8</v>
      </c>
      <c r="C136" s="2" t="s">
        <v>251</v>
      </c>
      <c r="D136" s="129" t="s">
        <v>1028</v>
      </c>
      <c r="E136" s="129" t="s">
        <v>4</v>
      </c>
      <c r="F136" s="4">
        <v>45414</v>
      </c>
      <c r="G136" s="2" t="s">
        <v>5</v>
      </c>
      <c r="H136" s="2">
        <v>0</v>
      </c>
      <c r="I136" s="2">
        <v>40</v>
      </c>
      <c r="J136" s="2">
        <v>60</v>
      </c>
      <c r="K136" s="2">
        <v>0</v>
      </c>
      <c r="L136" s="2">
        <f>SUM(H136:K136)</f>
        <v>100</v>
      </c>
      <c r="M136" s="2" t="s">
        <v>6</v>
      </c>
      <c r="N136" s="128" t="s">
        <v>205</v>
      </c>
      <c r="O136" s="2" t="s">
        <v>252</v>
      </c>
    </row>
    <row r="137" spans="1:15" s="142" customFormat="1" ht="36" x14ac:dyDescent="0.3">
      <c r="A137" s="145"/>
      <c r="B137" s="151" t="s">
        <v>2</v>
      </c>
      <c r="C137" s="151" t="s">
        <v>293</v>
      </c>
      <c r="D137" s="151" t="s">
        <v>1028</v>
      </c>
      <c r="E137" s="151" t="s">
        <v>4</v>
      </c>
      <c r="F137" s="152">
        <v>45415</v>
      </c>
      <c r="G137" s="151" t="s">
        <v>5</v>
      </c>
      <c r="H137" s="151">
        <v>0</v>
      </c>
      <c r="I137" s="151">
        <v>4</v>
      </c>
      <c r="J137" s="151">
        <v>1</v>
      </c>
      <c r="K137" s="151">
        <v>0</v>
      </c>
      <c r="L137" s="151">
        <v>5</v>
      </c>
      <c r="M137" s="151" t="s">
        <v>11</v>
      </c>
      <c r="N137" s="136" t="s">
        <v>205</v>
      </c>
      <c r="O137" s="151" t="s">
        <v>751</v>
      </c>
    </row>
    <row r="138" spans="1:15" s="142" customFormat="1" ht="36" x14ac:dyDescent="0.3">
      <c r="A138" s="145"/>
      <c r="B138" s="148" t="s">
        <v>2</v>
      </c>
      <c r="C138" s="148" t="s">
        <v>294</v>
      </c>
      <c r="D138" s="151" t="s">
        <v>1028</v>
      </c>
      <c r="E138" s="148" t="s">
        <v>4</v>
      </c>
      <c r="F138" s="149">
        <v>45418</v>
      </c>
      <c r="G138" s="148" t="s">
        <v>5</v>
      </c>
      <c r="H138" s="148">
        <v>0</v>
      </c>
      <c r="I138" s="148">
        <v>3</v>
      </c>
      <c r="J138" s="148">
        <v>3</v>
      </c>
      <c r="K138" s="148">
        <v>0</v>
      </c>
      <c r="L138" s="148">
        <v>6</v>
      </c>
      <c r="M138" s="148" t="s">
        <v>11</v>
      </c>
      <c r="N138" s="136" t="s">
        <v>205</v>
      </c>
      <c r="O138" s="148" t="s">
        <v>752</v>
      </c>
    </row>
    <row r="139" spans="1:15" ht="60" x14ac:dyDescent="0.3">
      <c r="A139" s="1"/>
      <c r="B139" s="2" t="s">
        <v>175</v>
      </c>
      <c r="C139" s="2" t="s">
        <v>291</v>
      </c>
      <c r="D139" s="146" t="s">
        <v>1028</v>
      </c>
      <c r="E139" s="2" t="s">
        <v>4</v>
      </c>
      <c r="F139" s="4">
        <v>45418</v>
      </c>
      <c r="G139" s="2" t="s">
        <v>5</v>
      </c>
      <c r="H139" s="2">
        <v>0</v>
      </c>
      <c r="I139" s="2">
        <v>0</v>
      </c>
      <c r="J139" s="2">
        <v>12</v>
      </c>
      <c r="K139" s="2">
        <v>0</v>
      </c>
      <c r="L139" s="2">
        <v>12</v>
      </c>
      <c r="M139" s="2" t="s">
        <v>176</v>
      </c>
      <c r="N139" s="136" t="s">
        <v>205</v>
      </c>
      <c r="O139" s="2" t="s">
        <v>287</v>
      </c>
    </row>
    <row r="140" spans="1:15" s="257" customFormat="1" ht="60" x14ac:dyDescent="0.3">
      <c r="A140" s="243"/>
      <c r="B140" s="240" t="s">
        <v>175</v>
      </c>
      <c r="C140" s="240" t="s">
        <v>799</v>
      </c>
      <c r="D140" s="240" t="s">
        <v>29</v>
      </c>
      <c r="E140" s="240" t="s">
        <v>4</v>
      </c>
      <c r="F140" s="242">
        <v>45420</v>
      </c>
      <c r="G140" s="240" t="s">
        <v>800</v>
      </c>
      <c r="H140" s="240">
        <v>5</v>
      </c>
      <c r="I140" s="240">
        <v>3</v>
      </c>
      <c r="J140" s="240">
        <v>5</v>
      </c>
      <c r="K140" s="240">
        <v>0</v>
      </c>
      <c r="L140" s="240">
        <v>13</v>
      </c>
      <c r="M140" s="240" t="s">
        <v>802</v>
      </c>
      <c r="N140" s="258" t="s">
        <v>31</v>
      </c>
      <c r="O140" s="240" t="s">
        <v>801</v>
      </c>
    </row>
    <row r="141" spans="1:15" s="153" customFormat="1" ht="48" x14ac:dyDescent="0.3">
      <c r="A141" s="103"/>
      <c r="B141" s="136" t="s">
        <v>8</v>
      </c>
      <c r="C141" s="136" t="s">
        <v>298</v>
      </c>
      <c r="D141" s="136" t="s">
        <v>1028</v>
      </c>
      <c r="E141" s="136" t="s">
        <v>4</v>
      </c>
      <c r="F141" s="118">
        <v>45420</v>
      </c>
      <c r="G141" s="136" t="s">
        <v>5</v>
      </c>
      <c r="H141" s="136">
        <v>179</v>
      </c>
      <c r="I141" s="136">
        <v>163</v>
      </c>
      <c r="J141" s="136">
        <v>294</v>
      </c>
      <c r="K141" s="136">
        <v>20</v>
      </c>
      <c r="L141" s="136">
        <f>SUM(H141:K141)</f>
        <v>656</v>
      </c>
      <c r="M141" s="136" t="s">
        <v>806</v>
      </c>
      <c r="N141" s="136" t="s">
        <v>205</v>
      </c>
      <c r="O141" s="154" t="s">
        <v>299</v>
      </c>
    </row>
    <row r="142" spans="1:15" s="141" customFormat="1" ht="48" x14ac:dyDescent="0.3">
      <c r="A142" s="145"/>
      <c r="B142" s="154" t="s">
        <v>297</v>
      </c>
      <c r="C142" s="154" t="s">
        <v>298</v>
      </c>
      <c r="D142" s="154" t="s">
        <v>1028</v>
      </c>
      <c r="E142" s="154" t="s">
        <v>4</v>
      </c>
      <c r="F142" s="155">
        <v>45420</v>
      </c>
      <c r="G142" s="154" t="s">
        <v>5</v>
      </c>
      <c r="H142" s="154">
        <v>0</v>
      </c>
      <c r="I142" s="154">
        <v>2</v>
      </c>
      <c r="J142" s="154">
        <v>4</v>
      </c>
      <c r="K142" s="154">
        <v>0</v>
      </c>
      <c r="L142" s="154">
        <v>6</v>
      </c>
      <c r="M142" s="154" t="s">
        <v>10</v>
      </c>
      <c r="N142" s="136" t="s">
        <v>34</v>
      </c>
      <c r="O142" s="154" t="s">
        <v>299</v>
      </c>
    </row>
    <row r="143" spans="1:15" s="141" customFormat="1" ht="60" x14ac:dyDescent="0.3">
      <c r="A143" s="145"/>
      <c r="B143" s="136" t="s">
        <v>8</v>
      </c>
      <c r="C143" s="136" t="s">
        <v>300</v>
      </c>
      <c r="D143" s="136" t="s">
        <v>1028</v>
      </c>
      <c r="E143" s="136" t="s">
        <v>4</v>
      </c>
      <c r="F143" s="118">
        <v>45420</v>
      </c>
      <c r="G143" s="136" t="s">
        <v>5</v>
      </c>
      <c r="H143" s="136">
        <v>0</v>
      </c>
      <c r="I143" s="136">
        <v>0</v>
      </c>
      <c r="J143" s="136">
        <v>75</v>
      </c>
      <c r="K143" s="136">
        <v>40</v>
      </c>
      <c r="L143" s="136">
        <f>SUM(H143:K143)</f>
        <v>115</v>
      </c>
      <c r="M143" s="136" t="s">
        <v>806</v>
      </c>
      <c r="N143" s="136" t="s">
        <v>205</v>
      </c>
      <c r="O143" s="154" t="s">
        <v>301</v>
      </c>
    </row>
    <row r="144" spans="1:15" s="141" customFormat="1" ht="24" x14ac:dyDescent="0.3">
      <c r="A144" s="145"/>
      <c r="B144" s="136" t="s">
        <v>8</v>
      </c>
      <c r="C144" s="136" t="s">
        <v>302</v>
      </c>
      <c r="D144" s="136" t="s">
        <v>1028</v>
      </c>
      <c r="E144" s="136" t="s">
        <v>4</v>
      </c>
      <c r="F144" s="118">
        <v>45420</v>
      </c>
      <c r="G144" s="136" t="s">
        <v>5</v>
      </c>
      <c r="H144" s="136">
        <v>150</v>
      </c>
      <c r="I144" s="136">
        <v>150</v>
      </c>
      <c r="J144" s="136">
        <v>280</v>
      </c>
      <c r="K144" s="136">
        <v>20</v>
      </c>
      <c r="L144" s="136">
        <f>SUM(H144:K144)</f>
        <v>600</v>
      </c>
      <c r="M144" s="154" t="s">
        <v>6</v>
      </c>
      <c r="N144" s="136" t="s">
        <v>205</v>
      </c>
      <c r="O144" s="154" t="s">
        <v>306</v>
      </c>
    </row>
    <row r="145" spans="1:15" s="153" customFormat="1" ht="48" x14ac:dyDescent="0.3">
      <c r="A145" s="145"/>
      <c r="B145" s="154" t="s">
        <v>297</v>
      </c>
      <c r="C145" s="154" t="str">
        <f>$C$144</f>
        <v>Фотовыставка «Герои в лицах»</v>
      </c>
      <c r="D145" s="136" t="s">
        <v>1028</v>
      </c>
      <c r="E145" s="136" t="s">
        <v>4</v>
      </c>
      <c r="F145" s="155">
        <v>45420</v>
      </c>
      <c r="G145" s="154" t="str">
        <f>$G$144</f>
        <v>КБР, г. Нальчик, КБГУ, ул. Чернышевского, 173</v>
      </c>
      <c r="H145" s="154">
        <v>0</v>
      </c>
      <c r="I145" s="154">
        <v>1</v>
      </c>
      <c r="J145" s="154">
        <v>3</v>
      </c>
      <c r="K145" s="154">
        <v>0</v>
      </c>
      <c r="L145" s="154">
        <v>4</v>
      </c>
      <c r="M145" s="154" t="s">
        <v>10</v>
      </c>
      <c r="N145" s="136" t="s">
        <v>34</v>
      </c>
      <c r="O145" s="154" t="s">
        <v>305</v>
      </c>
    </row>
    <row r="146" spans="1:15" s="150" customFormat="1" ht="120" x14ac:dyDescent="0.3">
      <c r="A146" s="145"/>
      <c r="B146" s="151" t="s">
        <v>2</v>
      </c>
      <c r="C146" s="151" t="s">
        <v>295</v>
      </c>
      <c r="D146" s="154" t="s">
        <v>1028</v>
      </c>
      <c r="E146" s="154" t="s">
        <v>4</v>
      </c>
      <c r="F146" s="152">
        <v>45420</v>
      </c>
      <c r="G146" s="154" t="s">
        <v>5</v>
      </c>
      <c r="H146" s="151">
        <v>150</v>
      </c>
      <c r="I146" s="151">
        <v>150</v>
      </c>
      <c r="J146" s="151">
        <v>280</v>
      </c>
      <c r="K146" s="151">
        <v>20</v>
      </c>
      <c r="L146" s="151">
        <f>SUM(H146:K146)</f>
        <v>600</v>
      </c>
      <c r="M146" s="151" t="s">
        <v>6</v>
      </c>
      <c r="N146" s="136" t="s">
        <v>205</v>
      </c>
      <c r="O146" s="151" t="s">
        <v>296</v>
      </c>
    </row>
    <row r="147" spans="1:15" s="141" customFormat="1" ht="144" x14ac:dyDescent="0.3">
      <c r="A147" s="145"/>
      <c r="B147" s="154" t="s">
        <v>8</v>
      </c>
      <c r="C147" s="154" t="s">
        <v>303</v>
      </c>
      <c r="D147" s="154" t="s">
        <v>1028</v>
      </c>
      <c r="E147" s="154" t="s">
        <v>4</v>
      </c>
      <c r="F147" s="155">
        <v>45421</v>
      </c>
      <c r="G147" s="154" t="s">
        <v>5</v>
      </c>
      <c r="H147" s="154">
        <v>39</v>
      </c>
      <c r="I147" s="154">
        <v>15</v>
      </c>
      <c r="J147" s="154">
        <v>21</v>
      </c>
      <c r="K147" s="154">
        <v>0</v>
      </c>
      <c r="L147" s="154">
        <f>SUM(H147:K147)</f>
        <v>75</v>
      </c>
      <c r="M147" s="154" t="s">
        <v>6</v>
      </c>
      <c r="N147" s="136" t="s">
        <v>205</v>
      </c>
      <c r="O147" s="154" t="s">
        <v>304</v>
      </c>
    </row>
    <row r="148" spans="1:15" s="239" customFormat="1" ht="48" x14ac:dyDescent="0.3">
      <c r="A148" s="243"/>
      <c r="B148" s="240" t="s">
        <v>3</v>
      </c>
      <c r="C148" s="240" t="s">
        <v>236</v>
      </c>
      <c r="D148" s="240" t="s">
        <v>1028</v>
      </c>
      <c r="E148" s="240" t="s">
        <v>4</v>
      </c>
      <c r="F148" s="242">
        <v>45423</v>
      </c>
      <c r="G148" s="240" t="s">
        <v>237</v>
      </c>
      <c r="H148" s="240">
        <v>1</v>
      </c>
      <c r="I148" s="240">
        <v>0</v>
      </c>
      <c r="J148" s="240">
        <v>20</v>
      </c>
      <c r="K148" s="240">
        <v>0</v>
      </c>
      <c r="L148" s="240">
        <v>21</v>
      </c>
      <c r="M148" s="240" t="s">
        <v>62</v>
      </c>
      <c r="N148" s="241" t="s">
        <v>12</v>
      </c>
      <c r="O148" s="240" t="s">
        <v>957</v>
      </c>
    </row>
    <row r="149" spans="1:15" s="156" customFormat="1" ht="72" x14ac:dyDescent="0.3">
      <c r="A149" s="145"/>
      <c r="B149" s="154" t="s">
        <v>32</v>
      </c>
      <c r="C149" s="154" t="s">
        <v>1030</v>
      </c>
      <c r="D149" s="154" t="s">
        <v>13</v>
      </c>
      <c r="E149" s="154" t="s">
        <v>4</v>
      </c>
      <c r="F149" s="155">
        <v>45425</v>
      </c>
      <c r="G149" s="154" t="s">
        <v>322</v>
      </c>
      <c r="H149" s="154">
        <v>0</v>
      </c>
      <c r="I149" s="154">
        <v>39</v>
      </c>
      <c r="J149" s="154">
        <v>189</v>
      </c>
      <c r="K149" s="154">
        <v>0</v>
      </c>
      <c r="L149" s="154">
        <f>SUM(H149:K149)</f>
        <v>228</v>
      </c>
      <c r="M149" s="154" t="s">
        <v>33</v>
      </c>
      <c r="N149" s="136" t="s">
        <v>31</v>
      </c>
      <c r="O149" s="154" t="s">
        <v>323</v>
      </c>
    </row>
    <row r="150" spans="1:15" s="264" customFormat="1" ht="60" x14ac:dyDescent="0.3">
      <c r="A150" s="243"/>
      <c r="B150" s="202" t="s">
        <v>3</v>
      </c>
      <c r="C150" s="240" t="s">
        <v>390</v>
      </c>
      <c r="D150" s="240" t="s">
        <v>280</v>
      </c>
      <c r="E150" s="240" t="s">
        <v>4</v>
      </c>
      <c r="F150" s="242" t="s">
        <v>1032</v>
      </c>
      <c r="G150" s="240" t="s">
        <v>391</v>
      </c>
      <c r="H150" s="240">
        <v>10</v>
      </c>
      <c r="I150" s="240">
        <v>0</v>
      </c>
      <c r="J150" s="240">
        <v>83</v>
      </c>
      <c r="K150" s="240">
        <v>0</v>
      </c>
      <c r="L150" s="240">
        <v>93</v>
      </c>
      <c r="M150" s="240" t="s">
        <v>134</v>
      </c>
      <c r="N150" s="207" t="s">
        <v>205</v>
      </c>
      <c r="O150" s="240" t="s">
        <v>392</v>
      </c>
    </row>
    <row r="151" spans="1:15" ht="114.75" customHeight="1" x14ac:dyDescent="0.3">
      <c r="A151" s="1"/>
      <c r="B151" s="2" t="s">
        <v>3</v>
      </c>
      <c r="C151" s="2" t="s">
        <v>289</v>
      </c>
      <c r="D151" s="2" t="s">
        <v>1028</v>
      </c>
      <c r="E151" s="2" t="s">
        <v>4</v>
      </c>
      <c r="F151" s="4">
        <v>45427</v>
      </c>
      <c r="G151" s="2" t="s">
        <v>290</v>
      </c>
      <c r="H151" s="2">
        <v>4</v>
      </c>
      <c r="I151" s="2">
        <v>7</v>
      </c>
      <c r="J151" s="2">
        <v>28</v>
      </c>
      <c r="K151" s="2">
        <v>0</v>
      </c>
      <c r="L151" s="2">
        <f t="shared" ref="L151:L156" si="2">SUM(H151:K151)</f>
        <v>39</v>
      </c>
      <c r="M151" s="2" t="s">
        <v>1042</v>
      </c>
      <c r="N151" s="136" t="s">
        <v>205</v>
      </c>
      <c r="O151" s="2" t="s">
        <v>292</v>
      </c>
    </row>
    <row r="152" spans="1:15" ht="111.75" customHeight="1" x14ac:dyDescent="0.3">
      <c r="A152" s="1"/>
      <c r="B152" s="154" t="s">
        <v>297</v>
      </c>
      <c r="C152" s="154" t="s">
        <v>289</v>
      </c>
      <c r="D152" s="154" t="s">
        <v>1028</v>
      </c>
      <c r="E152" s="154" t="s">
        <v>4</v>
      </c>
      <c r="F152" s="155">
        <v>45427</v>
      </c>
      <c r="G152" s="154" t="s">
        <v>290</v>
      </c>
      <c r="H152" s="154">
        <v>0</v>
      </c>
      <c r="I152" s="154">
        <v>0</v>
      </c>
      <c r="J152" s="154">
        <v>3</v>
      </c>
      <c r="K152" s="154">
        <v>0</v>
      </c>
      <c r="L152" s="154">
        <f t="shared" si="2"/>
        <v>3</v>
      </c>
      <c r="M152" s="154" t="s">
        <v>307</v>
      </c>
      <c r="N152" s="136" t="s">
        <v>34</v>
      </c>
      <c r="O152" s="154" t="s">
        <v>308</v>
      </c>
    </row>
    <row r="153" spans="1:15" s="156" customFormat="1" ht="111.75" customHeight="1" x14ac:dyDescent="0.3">
      <c r="A153" s="145"/>
      <c r="B153" s="154" t="s">
        <v>8</v>
      </c>
      <c r="C153" s="154" t="s">
        <v>319</v>
      </c>
      <c r="D153" s="154" t="s">
        <v>1028</v>
      </c>
      <c r="E153" s="154" t="s">
        <v>4</v>
      </c>
      <c r="F153" s="155">
        <v>45428</v>
      </c>
      <c r="G153" s="159" t="s">
        <v>5</v>
      </c>
      <c r="H153" s="154">
        <v>0</v>
      </c>
      <c r="I153" s="154">
        <v>16</v>
      </c>
      <c r="J153" s="154">
        <v>21</v>
      </c>
      <c r="K153" s="154">
        <v>0</v>
      </c>
      <c r="L153" s="154">
        <f t="shared" si="2"/>
        <v>37</v>
      </c>
      <c r="M153" s="154" t="s">
        <v>320</v>
      </c>
      <c r="N153" s="136" t="s">
        <v>12</v>
      </c>
      <c r="O153" s="154" t="s">
        <v>321</v>
      </c>
    </row>
    <row r="154" spans="1:15" s="158" customFormat="1" ht="96" customHeight="1" x14ac:dyDescent="0.3">
      <c r="A154" s="145"/>
      <c r="B154" s="159" t="s">
        <v>2</v>
      </c>
      <c r="C154" s="159" t="s">
        <v>327</v>
      </c>
      <c r="D154" s="159" t="s">
        <v>328</v>
      </c>
      <c r="E154" s="159" t="s">
        <v>4</v>
      </c>
      <c r="F154" s="155">
        <v>45428</v>
      </c>
      <c r="G154" s="159" t="s">
        <v>329</v>
      </c>
      <c r="H154" s="159">
        <v>0</v>
      </c>
      <c r="I154" s="162">
        <v>0</v>
      </c>
      <c r="J154" s="159">
        <v>11</v>
      </c>
      <c r="K154" s="159">
        <v>0</v>
      </c>
      <c r="L154" s="159">
        <f t="shared" si="2"/>
        <v>11</v>
      </c>
      <c r="M154" s="167" t="s">
        <v>146</v>
      </c>
      <c r="N154" s="160" t="s">
        <v>31</v>
      </c>
      <c r="O154" s="159" t="s">
        <v>330</v>
      </c>
    </row>
    <row r="155" spans="1:15" s="156" customFormat="1" ht="48" x14ac:dyDescent="0.3">
      <c r="A155" s="145"/>
      <c r="B155" s="154" t="s">
        <v>2</v>
      </c>
      <c r="C155" s="154" t="s">
        <v>324</v>
      </c>
      <c r="D155" s="154" t="s">
        <v>1028</v>
      </c>
      <c r="E155" s="154" t="s">
        <v>4</v>
      </c>
      <c r="F155" s="155">
        <v>45429</v>
      </c>
      <c r="G155" s="154" t="s">
        <v>325</v>
      </c>
      <c r="H155" s="154">
        <v>0</v>
      </c>
      <c r="I155" s="154">
        <v>1</v>
      </c>
      <c r="J155" s="154">
        <v>12</v>
      </c>
      <c r="K155" s="154">
        <v>0</v>
      </c>
      <c r="L155" s="154">
        <f t="shared" si="2"/>
        <v>13</v>
      </c>
      <c r="M155" s="154" t="s">
        <v>108</v>
      </c>
      <c r="N155" s="160" t="s">
        <v>12</v>
      </c>
      <c r="O155" s="154" t="s">
        <v>326</v>
      </c>
    </row>
    <row r="156" spans="1:15" s="161" customFormat="1" ht="165.75" customHeight="1" x14ac:dyDescent="0.3">
      <c r="A156" s="103"/>
      <c r="B156" s="160" t="s">
        <v>27</v>
      </c>
      <c r="C156" s="160" t="s">
        <v>316</v>
      </c>
      <c r="D156" s="160" t="s">
        <v>1028</v>
      </c>
      <c r="E156" s="160" t="s">
        <v>4</v>
      </c>
      <c r="F156" s="118" t="s">
        <v>317</v>
      </c>
      <c r="G156" s="160" t="s">
        <v>318</v>
      </c>
      <c r="H156" s="160">
        <v>11</v>
      </c>
      <c r="I156" s="160">
        <v>3</v>
      </c>
      <c r="J156" s="160">
        <v>66</v>
      </c>
      <c r="K156" s="160">
        <v>0</v>
      </c>
      <c r="L156" s="160">
        <f t="shared" si="2"/>
        <v>80</v>
      </c>
      <c r="M156" s="160" t="s">
        <v>1040</v>
      </c>
      <c r="N156" s="160" t="s">
        <v>205</v>
      </c>
      <c r="O156" s="160" t="s">
        <v>336</v>
      </c>
    </row>
    <row r="157" spans="1:15" ht="48" x14ac:dyDescent="0.3">
      <c r="A157" s="1"/>
      <c r="B157" s="154" t="s">
        <v>297</v>
      </c>
      <c r="C157" s="2" t="s">
        <v>309</v>
      </c>
      <c r="D157" s="154" t="s">
        <v>1028</v>
      </c>
      <c r="E157" s="154" t="s">
        <v>4</v>
      </c>
      <c r="F157" s="4">
        <v>45430</v>
      </c>
      <c r="G157" s="159" t="s">
        <v>5</v>
      </c>
      <c r="H157" s="2">
        <v>0</v>
      </c>
      <c r="I157" s="2">
        <v>2</v>
      </c>
      <c r="J157" s="2">
        <v>10</v>
      </c>
      <c r="K157" s="2">
        <v>0</v>
      </c>
      <c r="L157" s="2">
        <v>12</v>
      </c>
      <c r="M157" s="154" t="s">
        <v>10</v>
      </c>
      <c r="N157" s="136" t="s">
        <v>34</v>
      </c>
      <c r="O157" s="154" t="s">
        <v>310</v>
      </c>
    </row>
    <row r="158" spans="1:15" s="156" customFormat="1" ht="319.5" customHeight="1" x14ac:dyDescent="0.3">
      <c r="A158" s="145"/>
      <c r="B158" s="154" t="s">
        <v>8</v>
      </c>
      <c r="C158" s="154" t="s">
        <v>312</v>
      </c>
      <c r="D158" s="154" t="s">
        <v>1028</v>
      </c>
      <c r="E158" s="154" t="s">
        <v>4</v>
      </c>
      <c r="F158" s="155">
        <v>45432</v>
      </c>
      <c r="G158" s="159" t="s">
        <v>5</v>
      </c>
      <c r="H158" s="154">
        <v>40</v>
      </c>
      <c r="I158" s="154">
        <v>52</v>
      </c>
      <c r="J158" s="154">
        <v>167</v>
      </c>
      <c r="K158" s="154">
        <v>7</v>
      </c>
      <c r="L158" s="154">
        <f>SUM(H158:K158)</f>
        <v>266</v>
      </c>
      <c r="M158" s="154" t="s">
        <v>313</v>
      </c>
      <c r="N158" s="136" t="s">
        <v>205</v>
      </c>
      <c r="O158" s="154" t="s">
        <v>314</v>
      </c>
    </row>
    <row r="159" spans="1:15" ht="155.25" customHeight="1" x14ac:dyDescent="0.3">
      <c r="A159" s="145"/>
      <c r="B159" s="154" t="s">
        <v>297</v>
      </c>
      <c r="C159" s="154" t="s">
        <v>311</v>
      </c>
      <c r="D159" s="154" t="s">
        <v>1028</v>
      </c>
      <c r="E159" s="154" t="s">
        <v>4</v>
      </c>
      <c r="F159" s="155">
        <v>45434</v>
      </c>
      <c r="G159" s="159" t="s">
        <v>5</v>
      </c>
      <c r="H159" s="154">
        <v>0</v>
      </c>
      <c r="I159" s="154">
        <v>0</v>
      </c>
      <c r="J159" s="154">
        <v>5</v>
      </c>
      <c r="K159" s="154">
        <v>0</v>
      </c>
      <c r="L159" s="154">
        <v>5</v>
      </c>
      <c r="M159" s="154" t="s">
        <v>10</v>
      </c>
      <c r="N159" s="136" t="s">
        <v>34</v>
      </c>
      <c r="O159" s="154" t="s">
        <v>315</v>
      </c>
    </row>
    <row r="160" spans="1:15" s="161" customFormat="1" ht="72" x14ac:dyDescent="0.3">
      <c r="A160" s="103"/>
      <c r="B160" s="160" t="s">
        <v>2</v>
      </c>
      <c r="C160" s="160" t="s">
        <v>334</v>
      </c>
      <c r="D160" s="160" t="s">
        <v>1028</v>
      </c>
      <c r="E160" s="160" t="s">
        <v>4</v>
      </c>
      <c r="F160" s="118">
        <v>45434</v>
      </c>
      <c r="G160" s="159" t="s">
        <v>5</v>
      </c>
      <c r="H160" s="160">
        <v>70</v>
      </c>
      <c r="I160" s="160">
        <v>150</v>
      </c>
      <c r="J160" s="160">
        <v>350</v>
      </c>
      <c r="K160" s="160">
        <v>30</v>
      </c>
      <c r="L160" s="160">
        <f>SUM(H160:K160)</f>
        <v>600</v>
      </c>
      <c r="M160" s="160" t="s">
        <v>6</v>
      </c>
      <c r="N160" s="160" t="s">
        <v>12</v>
      </c>
      <c r="O160" s="160" t="s">
        <v>335</v>
      </c>
    </row>
    <row r="161" spans="1:15" s="161" customFormat="1" ht="36" x14ac:dyDescent="0.3">
      <c r="A161" s="263"/>
      <c r="B161" s="258" t="s">
        <v>2</v>
      </c>
      <c r="C161" s="258" t="s">
        <v>847</v>
      </c>
      <c r="D161" s="207" t="s">
        <v>1028</v>
      </c>
      <c r="E161" s="258" t="s">
        <v>4</v>
      </c>
      <c r="F161" s="262">
        <v>45435</v>
      </c>
      <c r="G161" s="240" t="s">
        <v>5</v>
      </c>
      <c r="H161" s="258">
        <v>0</v>
      </c>
      <c r="I161" s="258">
        <v>0</v>
      </c>
      <c r="J161" s="258">
        <v>3</v>
      </c>
      <c r="K161" s="258">
        <v>0</v>
      </c>
      <c r="L161" s="258">
        <v>3</v>
      </c>
      <c r="M161" s="258" t="s">
        <v>11</v>
      </c>
      <c r="N161" s="207" t="s">
        <v>12</v>
      </c>
      <c r="O161" s="258" t="s">
        <v>848</v>
      </c>
    </row>
    <row r="162" spans="1:15" s="161" customFormat="1" ht="60" x14ac:dyDescent="0.3">
      <c r="A162" s="103"/>
      <c r="B162" s="160" t="s">
        <v>175</v>
      </c>
      <c r="C162" s="160" t="s">
        <v>359</v>
      </c>
      <c r="D162" s="160" t="s">
        <v>1028</v>
      </c>
      <c r="E162" s="160" t="s">
        <v>4</v>
      </c>
      <c r="F162" s="118">
        <v>45435</v>
      </c>
      <c r="G162" s="160" t="s">
        <v>5</v>
      </c>
      <c r="H162" s="173">
        <v>0</v>
      </c>
      <c r="I162" s="173">
        <v>0</v>
      </c>
      <c r="J162" s="173">
        <v>21</v>
      </c>
      <c r="K162" s="173">
        <v>0</v>
      </c>
      <c r="L162" s="173">
        <v>21</v>
      </c>
      <c r="M162" s="160" t="s">
        <v>360</v>
      </c>
      <c r="N162" s="160" t="s">
        <v>12</v>
      </c>
      <c r="O162" s="160" t="s">
        <v>358</v>
      </c>
    </row>
    <row r="163" spans="1:15" s="161" customFormat="1" ht="36" x14ac:dyDescent="0.3">
      <c r="A163" s="103"/>
      <c r="B163" s="160" t="s">
        <v>2</v>
      </c>
      <c r="C163" s="160" t="s">
        <v>363</v>
      </c>
      <c r="D163" s="160" t="s">
        <v>1028</v>
      </c>
      <c r="E163" s="160" t="s">
        <v>4</v>
      </c>
      <c r="F163" s="118">
        <v>45436</v>
      </c>
      <c r="G163" s="160" t="s">
        <v>5</v>
      </c>
      <c r="H163" s="179">
        <v>0</v>
      </c>
      <c r="I163" s="179">
        <v>3</v>
      </c>
      <c r="J163" s="179">
        <v>8</v>
      </c>
      <c r="K163" s="179">
        <v>0</v>
      </c>
      <c r="L163" s="179">
        <v>11</v>
      </c>
      <c r="M163" s="160" t="s">
        <v>368</v>
      </c>
      <c r="N163" s="160" t="s">
        <v>12</v>
      </c>
      <c r="O163" s="160" t="s">
        <v>364</v>
      </c>
    </row>
    <row r="164" spans="1:15" s="161" customFormat="1" ht="36" x14ac:dyDescent="0.3">
      <c r="A164" s="103"/>
      <c r="B164" s="160" t="s">
        <v>365</v>
      </c>
      <c r="C164" s="160" t="s">
        <v>366</v>
      </c>
      <c r="D164" s="160" t="s">
        <v>1028</v>
      </c>
      <c r="E164" s="160" t="s">
        <v>4</v>
      </c>
      <c r="F164" s="118">
        <v>45436</v>
      </c>
      <c r="G164" s="160" t="s">
        <v>5</v>
      </c>
      <c r="H164" s="182">
        <v>0</v>
      </c>
      <c r="I164" s="182">
        <v>2</v>
      </c>
      <c r="J164" s="182">
        <v>4</v>
      </c>
      <c r="K164" s="182">
        <v>0</v>
      </c>
      <c r="L164" s="182">
        <v>6</v>
      </c>
      <c r="M164" s="160" t="s">
        <v>368</v>
      </c>
      <c r="N164" s="160" t="s">
        <v>12</v>
      </c>
      <c r="O164" s="160" t="s">
        <v>367</v>
      </c>
    </row>
    <row r="165" spans="1:15" s="163" customFormat="1" ht="24" x14ac:dyDescent="0.3">
      <c r="A165" s="145"/>
      <c r="B165" s="180" t="s">
        <v>27</v>
      </c>
      <c r="C165" s="180" t="s">
        <v>350</v>
      </c>
      <c r="D165" s="160" t="s">
        <v>1028</v>
      </c>
      <c r="E165" s="160" t="s">
        <v>4</v>
      </c>
      <c r="F165" s="181">
        <v>45436</v>
      </c>
      <c r="G165" s="180" t="s">
        <v>5</v>
      </c>
      <c r="H165" s="180">
        <v>0</v>
      </c>
      <c r="I165" s="180">
        <v>0</v>
      </c>
      <c r="J165" s="180">
        <v>16</v>
      </c>
      <c r="K165" s="180">
        <v>0</v>
      </c>
      <c r="L165" s="180">
        <v>16</v>
      </c>
      <c r="M165" s="180" t="s">
        <v>146</v>
      </c>
      <c r="N165" s="160" t="s">
        <v>12</v>
      </c>
      <c r="O165" s="180" t="s">
        <v>351</v>
      </c>
    </row>
    <row r="166" spans="1:15" s="163" customFormat="1" ht="84" x14ac:dyDescent="0.3">
      <c r="A166" s="145"/>
      <c r="B166" s="160" t="s">
        <v>2</v>
      </c>
      <c r="C166" s="180" t="s">
        <v>345</v>
      </c>
      <c r="D166" s="160" t="s">
        <v>280</v>
      </c>
      <c r="E166" s="160" t="s">
        <v>4</v>
      </c>
      <c r="F166" s="181" t="s">
        <v>343</v>
      </c>
      <c r="G166" s="180" t="s">
        <v>344</v>
      </c>
      <c r="H166" s="180">
        <v>1</v>
      </c>
      <c r="I166" s="180">
        <v>0</v>
      </c>
      <c r="J166" s="180">
        <v>11</v>
      </c>
      <c r="K166" s="180">
        <v>1</v>
      </c>
      <c r="L166" s="180">
        <f>SUM(H166:K166)</f>
        <v>13</v>
      </c>
      <c r="M166" s="180" t="s">
        <v>33</v>
      </c>
      <c r="N166" s="180" t="s">
        <v>31</v>
      </c>
      <c r="O166" s="180" t="s">
        <v>346</v>
      </c>
    </row>
    <row r="167" spans="1:15" s="165" customFormat="1" ht="36" x14ac:dyDescent="0.3">
      <c r="A167" s="166"/>
      <c r="B167" s="160" t="s">
        <v>352</v>
      </c>
      <c r="C167" s="167" t="s">
        <v>353</v>
      </c>
      <c r="D167" s="160" t="s">
        <v>1028</v>
      </c>
      <c r="E167" s="160" t="s">
        <v>16</v>
      </c>
      <c r="F167" s="168">
        <v>45438</v>
      </c>
      <c r="G167" s="167" t="s">
        <v>5</v>
      </c>
      <c r="H167" s="167">
        <v>0</v>
      </c>
      <c r="I167" s="167">
        <v>2</v>
      </c>
      <c r="J167" s="167">
        <v>11</v>
      </c>
      <c r="K167" s="167">
        <v>0</v>
      </c>
      <c r="L167" s="167">
        <v>13</v>
      </c>
      <c r="M167" s="169" t="s">
        <v>146</v>
      </c>
      <c r="N167" s="167" t="s">
        <v>205</v>
      </c>
      <c r="O167" s="167" t="s">
        <v>354</v>
      </c>
    </row>
    <row r="168" spans="1:15" s="164" customFormat="1" ht="60" x14ac:dyDescent="0.3">
      <c r="A168" s="172"/>
      <c r="B168" s="160" t="s">
        <v>2</v>
      </c>
      <c r="C168" s="173" t="s">
        <v>361</v>
      </c>
      <c r="D168" s="160" t="s">
        <v>1028</v>
      </c>
      <c r="E168" s="160" t="s">
        <v>4</v>
      </c>
      <c r="F168" s="174">
        <v>45439</v>
      </c>
      <c r="G168" s="173" t="s">
        <v>5</v>
      </c>
      <c r="H168" s="173">
        <v>0</v>
      </c>
      <c r="I168" s="173">
        <v>4</v>
      </c>
      <c r="J168" s="173">
        <v>6</v>
      </c>
      <c r="K168" s="173">
        <v>0</v>
      </c>
      <c r="L168" s="173">
        <v>10</v>
      </c>
      <c r="M168" s="173" t="s">
        <v>11</v>
      </c>
      <c r="N168" s="176" t="s">
        <v>205</v>
      </c>
      <c r="O168" s="173" t="s">
        <v>753</v>
      </c>
    </row>
    <row r="169" spans="1:15" s="175" customFormat="1" ht="108" x14ac:dyDescent="0.3">
      <c r="A169" s="172"/>
      <c r="B169" s="160" t="s">
        <v>2</v>
      </c>
      <c r="C169" s="176" t="s">
        <v>362</v>
      </c>
      <c r="D169" s="160" t="s">
        <v>1028</v>
      </c>
      <c r="E169" s="160" t="s">
        <v>4</v>
      </c>
      <c r="F169" s="177">
        <v>45440</v>
      </c>
      <c r="G169" s="176" t="s">
        <v>5</v>
      </c>
      <c r="H169" s="176">
        <v>2</v>
      </c>
      <c r="I169" s="176">
        <v>2</v>
      </c>
      <c r="J169" s="176">
        <v>15</v>
      </c>
      <c r="K169" s="176">
        <v>0</v>
      </c>
      <c r="L169" s="176">
        <v>19</v>
      </c>
      <c r="M169" s="178" t="s">
        <v>11</v>
      </c>
      <c r="N169" s="178" t="s">
        <v>205</v>
      </c>
      <c r="O169" s="176" t="s">
        <v>754</v>
      </c>
    </row>
    <row r="170" spans="1:15" ht="96.75" customHeight="1" x14ac:dyDescent="0.3">
      <c r="A170" s="145"/>
      <c r="B170" s="159" t="s">
        <v>297</v>
      </c>
      <c r="C170" s="159" t="s">
        <v>337</v>
      </c>
      <c r="D170" s="160" t="s">
        <v>1028</v>
      </c>
      <c r="E170" s="160" t="s">
        <v>4</v>
      </c>
      <c r="F170" s="155">
        <v>45441</v>
      </c>
      <c r="G170" s="159" t="s">
        <v>339</v>
      </c>
      <c r="H170" s="160">
        <v>0</v>
      </c>
      <c r="I170" s="160">
        <v>0</v>
      </c>
      <c r="J170" s="160">
        <v>5</v>
      </c>
      <c r="K170" s="160">
        <v>0</v>
      </c>
      <c r="L170" s="160">
        <v>5</v>
      </c>
      <c r="M170" s="159" t="s">
        <v>10</v>
      </c>
      <c r="N170" s="160" t="s">
        <v>34</v>
      </c>
      <c r="O170" s="160" t="s">
        <v>338</v>
      </c>
    </row>
    <row r="171" spans="1:15" ht="60" x14ac:dyDescent="0.3">
      <c r="A171" s="145"/>
      <c r="B171" s="159" t="s">
        <v>297</v>
      </c>
      <c r="C171" s="159" t="s">
        <v>340</v>
      </c>
      <c r="D171" s="160" t="s">
        <v>1028</v>
      </c>
      <c r="E171" s="160" t="s">
        <v>4</v>
      </c>
      <c r="F171" s="155">
        <v>45442</v>
      </c>
      <c r="G171" s="159" t="s">
        <v>341</v>
      </c>
      <c r="H171" s="160">
        <v>0</v>
      </c>
      <c r="I171" s="160">
        <v>2</v>
      </c>
      <c r="J171" s="160">
        <v>4</v>
      </c>
      <c r="K171" s="160">
        <v>0</v>
      </c>
      <c r="L171" s="160">
        <v>6</v>
      </c>
      <c r="M171" s="159" t="s">
        <v>10</v>
      </c>
      <c r="N171" s="160" t="s">
        <v>34</v>
      </c>
      <c r="O171" s="160" t="s">
        <v>342</v>
      </c>
    </row>
    <row r="172" spans="1:15" ht="223.5" customHeight="1" x14ac:dyDescent="0.3">
      <c r="A172" s="145"/>
      <c r="B172" s="160" t="s">
        <v>2</v>
      </c>
      <c r="C172" s="159" t="s">
        <v>347</v>
      </c>
      <c r="D172" s="160" t="s">
        <v>1028</v>
      </c>
      <c r="E172" s="160" t="s">
        <v>4</v>
      </c>
      <c r="F172" s="155">
        <v>45442</v>
      </c>
      <c r="G172" s="159" t="s">
        <v>5</v>
      </c>
      <c r="H172" s="154">
        <v>4</v>
      </c>
      <c r="I172" s="159">
        <v>0</v>
      </c>
      <c r="J172" s="159">
        <v>11</v>
      </c>
      <c r="K172" s="159">
        <v>1</v>
      </c>
      <c r="L172" s="154">
        <f>SUM(H172:K172)</f>
        <v>16</v>
      </c>
      <c r="M172" s="160" t="s">
        <v>6</v>
      </c>
      <c r="N172" s="160" t="s">
        <v>12</v>
      </c>
      <c r="O172" s="160" t="s">
        <v>348</v>
      </c>
    </row>
    <row r="173" spans="1:15" ht="154.5" customHeight="1" x14ac:dyDescent="0.3">
      <c r="A173" s="145"/>
      <c r="B173" s="160" t="s">
        <v>8</v>
      </c>
      <c r="C173" s="160" t="s">
        <v>349</v>
      </c>
      <c r="D173" s="160" t="s">
        <v>1028</v>
      </c>
      <c r="E173" s="160" t="s">
        <v>4</v>
      </c>
      <c r="F173" s="155">
        <v>45442</v>
      </c>
      <c r="G173" s="159" t="s">
        <v>5</v>
      </c>
      <c r="H173" s="160">
        <v>3</v>
      </c>
      <c r="I173" s="160">
        <v>40</v>
      </c>
      <c r="J173" s="160">
        <v>0</v>
      </c>
      <c r="K173" s="160">
        <v>0</v>
      </c>
      <c r="L173" s="160">
        <f>SUM(H173:K173)</f>
        <v>43</v>
      </c>
      <c r="M173" s="160" t="s">
        <v>806</v>
      </c>
      <c r="N173" s="160" t="s">
        <v>12</v>
      </c>
      <c r="O173" s="160" t="s">
        <v>357</v>
      </c>
    </row>
    <row r="174" spans="1:15" ht="36" x14ac:dyDescent="0.3">
      <c r="A174" s="145"/>
      <c r="B174" s="160" t="s">
        <v>32</v>
      </c>
      <c r="C174" s="160" t="s">
        <v>355</v>
      </c>
      <c r="D174" s="160" t="s">
        <v>1028</v>
      </c>
      <c r="E174" s="160" t="s">
        <v>16</v>
      </c>
      <c r="F174" s="155">
        <v>45442</v>
      </c>
      <c r="G174" s="159" t="s">
        <v>5</v>
      </c>
      <c r="H174" s="159">
        <v>0</v>
      </c>
      <c r="I174" s="159">
        <v>0</v>
      </c>
      <c r="J174" s="159">
        <v>6</v>
      </c>
      <c r="K174" s="159">
        <v>0</v>
      </c>
      <c r="L174" s="159">
        <v>6</v>
      </c>
      <c r="M174" s="170" t="s">
        <v>146</v>
      </c>
      <c r="N174" s="170" t="s">
        <v>205</v>
      </c>
      <c r="O174" s="160" t="s">
        <v>356</v>
      </c>
    </row>
    <row r="175" spans="1:15" s="175" customFormat="1" ht="132" x14ac:dyDescent="0.3">
      <c r="A175" s="172"/>
      <c r="B175" s="160" t="s">
        <v>8</v>
      </c>
      <c r="C175" s="160" t="s">
        <v>376</v>
      </c>
      <c r="D175" s="160" t="s">
        <v>1028</v>
      </c>
      <c r="E175" s="160" t="s">
        <v>4</v>
      </c>
      <c r="F175" s="181">
        <v>45443</v>
      </c>
      <c r="G175" s="182" t="s">
        <v>5</v>
      </c>
      <c r="H175" s="182">
        <v>17</v>
      </c>
      <c r="I175" s="182">
        <v>5</v>
      </c>
      <c r="J175" s="182">
        <v>25</v>
      </c>
      <c r="K175" s="182">
        <v>0</v>
      </c>
      <c r="L175" s="182">
        <f>SUM(H175:K175)</f>
        <v>47</v>
      </c>
      <c r="M175" s="160" t="s">
        <v>806</v>
      </c>
      <c r="N175" s="160" t="s">
        <v>12</v>
      </c>
      <c r="O175" s="160" t="s">
        <v>377</v>
      </c>
    </row>
    <row r="176" spans="1:15" ht="84" x14ac:dyDescent="0.3">
      <c r="A176" s="145"/>
      <c r="B176" s="160" t="s">
        <v>297</v>
      </c>
      <c r="C176" s="160" t="s">
        <v>369</v>
      </c>
      <c r="D176" s="160" t="s">
        <v>1028</v>
      </c>
      <c r="E176" s="160" t="s">
        <v>4</v>
      </c>
      <c r="F176" s="155">
        <v>45447</v>
      </c>
      <c r="G176" s="182" t="s">
        <v>5</v>
      </c>
      <c r="H176" s="159">
        <v>0</v>
      </c>
      <c r="I176" s="159">
        <v>7</v>
      </c>
      <c r="J176" s="159">
        <v>28</v>
      </c>
      <c r="K176" s="159">
        <v>0</v>
      </c>
      <c r="L176" s="159">
        <f>SUM(H176:K176)</f>
        <v>35</v>
      </c>
      <c r="M176" s="160" t="s">
        <v>10</v>
      </c>
      <c r="N176" s="182" t="s">
        <v>205</v>
      </c>
      <c r="O176" s="160" t="s">
        <v>370</v>
      </c>
    </row>
    <row r="177" spans="1:15" ht="48" x14ac:dyDescent="0.3">
      <c r="A177" s="145"/>
      <c r="B177" s="160" t="s">
        <v>371</v>
      </c>
      <c r="C177" s="160" t="s">
        <v>372</v>
      </c>
      <c r="D177" s="160" t="s">
        <v>13</v>
      </c>
      <c r="E177" s="160" t="s">
        <v>4</v>
      </c>
      <c r="F177" s="155">
        <v>45446</v>
      </c>
      <c r="G177" s="159" t="s">
        <v>373</v>
      </c>
      <c r="H177" s="159">
        <v>0</v>
      </c>
      <c r="I177" s="159">
        <v>4</v>
      </c>
      <c r="J177" s="159">
        <v>21</v>
      </c>
      <c r="K177" s="159">
        <v>0</v>
      </c>
      <c r="L177" s="159">
        <v>25</v>
      </c>
      <c r="M177" s="160" t="s">
        <v>374</v>
      </c>
      <c r="N177" s="160" t="s">
        <v>12</v>
      </c>
      <c r="O177" s="160" t="s">
        <v>375</v>
      </c>
    </row>
    <row r="178" spans="1:15" ht="48" x14ac:dyDescent="0.3">
      <c r="A178" s="145"/>
      <c r="B178" s="160" t="s">
        <v>371</v>
      </c>
      <c r="C178" s="160" t="s">
        <v>372</v>
      </c>
      <c r="D178" s="160" t="s">
        <v>13</v>
      </c>
      <c r="E178" s="160" t="s">
        <v>4</v>
      </c>
      <c r="F178" s="155">
        <v>45447</v>
      </c>
      <c r="G178" s="159" t="s">
        <v>373</v>
      </c>
      <c r="H178" s="159">
        <v>0</v>
      </c>
      <c r="I178" s="159">
        <v>6</v>
      </c>
      <c r="J178" s="159">
        <v>23</v>
      </c>
      <c r="K178" s="159">
        <v>0</v>
      </c>
      <c r="L178" s="159">
        <v>29</v>
      </c>
      <c r="M178" s="160" t="s">
        <v>374</v>
      </c>
      <c r="N178" s="160" t="s">
        <v>12</v>
      </c>
      <c r="O178" s="160" t="s">
        <v>375</v>
      </c>
    </row>
    <row r="179" spans="1:15" ht="48" x14ac:dyDescent="0.3">
      <c r="A179" s="145"/>
      <c r="B179" s="160" t="s">
        <v>371</v>
      </c>
      <c r="C179" s="160" t="s">
        <v>372</v>
      </c>
      <c r="D179" s="160" t="s">
        <v>13</v>
      </c>
      <c r="E179" s="160" t="s">
        <v>4</v>
      </c>
      <c r="F179" s="155">
        <v>45449</v>
      </c>
      <c r="G179" s="159" t="s">
        <v>373</v>
      </c>
      <c r="H179" s="159">
        <v>0</v>
      </c>
      <c r="I179" s="159">
        <v>5</v>
      </c>
      <c r="J179" s="159">
        <v>35</v>
      </c>
      <c r="K179" s="159">
        <v>0</v>
      </c>
      <c r="L179" s="159">
        <v>40</v>
      </c>
      <c r="M179" s="160" t="s">
        <v>374</v>
      </c>
      <c r="N179" s="160" t="s">
        <v>12</v>
      </c>
      <c r="O179" s="160" t="s">
        <v>375</v>
      </c>
    </row>
    <row r="180" spans="1:15" ht="48" x14ac:dyDescent="0.3">
      <c r="A180" s="145"/>
      <c r="B180" s="160" t="s">
        <v>371</v>
      </c>
      <c r="C180" s="160" t="s">
        <v>372</v>
      </c>
      <c r="D180" s="160" t="s">
        <v>13</v>
      </c>
      <c r="E180" s="160" t="s">
        <v>4</v>
      </c>
      <c r="F180" s="155">
        <v>45450</v>
      </c>
      <c r="G180" s="159" t="s">
        <v>373</v>
      </c>
      <c r="H180" s="159">
        <v>0</v>
      </c>
      <c r="I180" s="159">
        <v>11</v>
      </c>
      <c r="J180" s="159">
        <v>23</v>
      </c>
      <c r="K180" s="159">
        <v>0</v>
      </c>
      <c r="L180" s="159">
        <v>34</v>
      </c>
      <c r="M180" s="160" t="s">
        <v>374</v>
      </c>
      <c r="N180" s="160" t="s">
        <v>12</v>
      </c>
      <c r="O180" s="160" t="s">
        <v>375</v>
      </c>
    </row>
    <row r="181" spans="1:15" ht="48" x14ac:dyDescent="0.3">
      <c r="A181" s="145"/>
      <c r="B181" s="160" t="s">
        <v>371</v>
      </c>
      <c r="C181" s="207" t="s">
        <v>372</v>
      </c>
      <c r="D181" s="160" t="s">
        <v>13</v>
      </c>
      <c r="E181" s="160" t="s">
        <v>4</v>
      </c>
      <c r="F181" s="155">
        <v>45451</v>
      </c>
      <c r="G181" s="159" t="s">
        <v>373</v>
      </c>
      <c r="H181" s="159">
        <v>0</v>
      </c>
      <c r="I181" s="159">
        <v>14</v>
      </c>
      <c r="J181" s="159">
        <v>34</v>
      </c>
      <c r="K181" s="159">
        <v>0</v>
      </c>
      <c r="L181" s="159">
        <v>48</v>
      </c>
      <c r="M181" s="160" t="s">
        <v>374</v>
      </c>
      <c r="N181" s="160" t="s">
        <v>12</v>
      </c>
      <c r="O181" s="160" t="s">
        <v>375</v>
      </c>
    </row>
    <row r="182" spans="1:15" ht="48" x14ac:dyDescent="0.3">
      <c r="A182" s="145"/>
      <c r="B182" s="160" t="s">
        <v>371</v>
      </c>
      <c r="C182" s="160" t="s">
        <v>372</v>
      </c>
      <c r="D182" s="160" t="s">
        <v>13</v>
      </c>
      <c r="E182" s="160" t="s">
        <v>4</v>
      </c>
      <c r="F182" s="155">
        <v>45453</v>
      </c>
      <c r="G182" s="159" t="s">
        <v>373</v>
      </c>
      <c r="H182" s="159">
        <v>0</v>
      </c>
      <c r="I182" s="159">
        <v>4</v>
      </c>
      <c r="J182" s="159">
        <v>19</v>
      </c>
      <c r="K182" s="159">
        <v>0</v>
      </c>
      <c r="L182" s="159">
        <v>23</v>
      </c>
      <c r="M182" s="160" t="s">
        <v>374</v>
      </c>
      <c r="N182" s="160" t="s">
        <v>12</v>
      </c>
      <c r="O182" s="160" t="s">
        <v>375</v>
      </c>
    </row>
    <row r="183" spans="1:15" s="226" customFormat="1" ht="60" x14ac:dyDescent="0.3">
      <c r="A183" s="221"/>
      <c r="B183" s="209" t="s">
        <v>587</v>
      </c>
      <c r="C183" s="209" t="s">
        <v>588</v>
      </c>
      <c r="D183" s="207" t="s">
        <v>1028</v>
      </c>
      <c r="E183" s="209" t="s">
        <v>4</v>
      </c>
      <c r="F183" s="220" t="s">
        <v>589</v>
      </c>
      <c r="G183" s="202" t="s">
        <v>318</v>
      </c>
      <c r="H183" s="219">
        <v>5</v>
      </c>
      <c r="I183" s="219">
        <v>6</v>
      </c>
      <c r="J183" s="219">
        <v>68</v>
      </c>
      <c r="K183" s="219">
        <v>46</v>
      </c>
      <c r="L183" s="219">
        <f>SUM(H183:K183)</f>
        <v>125</v>
      </c>
      <c r="M183" s="209" t="s">
        <v>7</v>
      </c>
      <c r="N183" s="207" t="s">
        <v>12</v>
      </c>
      <c r="O183" s="215" t="s">
        <v>590</v>
      </c>
    </row>
    <row r="184" spans="1:15" ht="48" x14ac:dyDescent="0.3">
      <c r="A184" s="145"/>
      <c r="B184" s="160" t="s">
        <v>371</v>
      </c>
      <c r="C184" s="160" t="s">
        <v>372</v>
      </c>
      <c r="D184" s="160" t="s">
        <v>13</v>
      </c>
      <c r="E184" s="160" t="s">
        <v>4</v>
      </c>
      <c r="F184" s="155">
        <v>45454</v>
      </c>
      <c r="G184" s="159" t="s">
        <v>373</v>
      </c>
      <c r="H184" s="159">
        <v>0</v>
      </c>
      <c r="I184" s="159">
        <v>2</v>
      </c>
      <c r="J184" s="159">
        <v>15</v>
      </c>
      <c r="K184" s="159">
        <v>0</v>
      </c>
      <c r="L184" s="159">
        <v>17</v>
      </c>
      <c r="M184" s="160" t="s">
        <v>374</v>
      </c>
      <c r="N184" s="160" t="s">
        <v>12</v>
      </c>
      <c r="O184" s="160" t="s">
        <v>375</v>
      </c>
    </row>
    <row r="185" spans="1:15" ht="48" x14ac:dyDescent="0.3">
      <c r="A185" s="145"/>
      <c r="B185" s="160" t="s">
        <v>371</v>
      </c>
      <c r="C185" s="160" t="s">
        <v>372</v>
      </c>
      <c r="D185" s="160" t="s">
        <v>13</v>
      </c>
      <c r="E185" s="160" t="s">
        <v>4</v>
      </c>
      <c r="F185" s="155">
        <v>45456</v>
      </c>
      <c r="G185" s="159" t="s">
        <v>373</v>
      </c>
      <c r="H185" s="159">
        <v>0</v>
      </c>
      <c r="I185" s="159">
        <v>8</v>
      </c>
      <c r="J185" s="159">
        <v>13</v>
      </c>
      <c r="K185" s="159">
        <v>0</v>
      </c>
      <c r="L185" s="159">
        <v>21</v>
      </c>
      <c r="M185" s="160" t="s">
        <v>374</v>
      </c>
      <c r="N185" s="160" t="s">
        <v>12</v>
      </c>
      <c r="O185" s="160" t="s">
        <v>375</v>
      </c>
    </row>
    <row r="186" spans="1:15" s="190" customFormat="1" ht="96" x14ac:dyDescent="0.3">
      <c r="A186" s="172"/>
      <c r="B186" s="160" t="s">
        <v>175</v>
      </c>
      <c r="C186" s="160" t="s">
        <v>378</v>
      </c>
      <c r="D186" s="160" t="s">
        <v>1028</v>
      </c>
      <c r="E186" s="160" t="s">
        <v>4</v>
      </c>
      <c r="F186" s="155">
        <v>45456</v>
      </c>
      <c r="G186" s="187" t="s">
        <v>5</v>
      </c>
      <c r="H186" s="159">
        <v>0</v>
      </c>
      <c r="I186" s="159">
        <v>0</v>
      </c>
      <c r="J186" s="159">
        <v>34</v>
      </c>
      <c r="K186" s="159">
        <v>0</v>
      </c>
      <c r="L186" s="159">
        <v>34</v>
      </c>
      <c r="M186" s="160" t="s">
        <v>379</v>
      </c>
      <c r="N186" s="160" t="s">
        <v>12</v>
      </c>
      <c r="O186" s="160" t="s">
        <v>380</v>
      </c>
    </row>
    <row r="187" spans="1:15" ht="48" x14ac:dyDescent="0.3">
      <c r="A187" s="145"/>
      <c r="B187" s="160" t="s">
        <v>371</v>
      </c>
      <c r="C187" s="160" t="s">
        <v>372</v>
      </c>
      <c r="D187" s="160" t="s">
        <v>13</v>
      </c>
      <c r="E187" s="160" t="s">
        <v>4</v>
      </c>
      <c r="F187" s="155">
        <v>45457</v>
      </c>
      <c r="G187" s="159" t="s">
        <v>373</v>
      </c>
      <c r="H187" s="159">
        <v>0</v>
      </c>
      <c r="I187" s="159">
        <v>11</v>
      </c>
      <c r="J187" s="159">
        <v>24</v>
      </c>
      <c r="K187" s="159">
        <v>0</v>
      </c>
      <c r="L187" s="159">
        <v>35</v>
      </c>
      <c r="M187" s="160" t="s">
        <v>374</v>
      </c>
      <c r="N187" s="160" t="s">
        <v>12</v>
      </c>
      <c r="O187" s="160" t="s">
        <v>375</v>
      </c>
    </row>
    <row r="188" spans="1:15" s="190" customFormat="1" ht="84" x14ac:dyDescent="0.3">
      <c r="A188" s="172"/>
      <c r="B188" s="160" t="s">
        <v>371</v>
      </c>
      <c r="C188" s="160" t="s">
        <v>389</v>
      </c>
      <c r="D188" s="160" t="s">
        <v>1028</v>
      </c>
      <c r="E188" s="160" t="s">
        <v>4</v>
      </c>
      <c r="F188" s="160" t="s">
        <v>388</v>
      </c>
      <c r="G188" s="160" t="s">
        <v>391</v>
      </c>
      <c r="H188" s="160">
        <v>0</v>
      </c>
      <c r="I188" s="160">
        <v>7</v>
      </c>
      <c r="J188" s="160">
        <v>20</v>
      </c>
      <c r="K188" s="160">
        <v>0</v>
      </c>
      <c r="L188" s="160">
        <v>27</v>
      </c>
      <c r="M188" s="160" t="s">
        <v>385</v>
      </c>
      <c r="N188" s="160" t="s">
        <v>34</v>
      </c>
      <c r="O188" s="160" t="s">
        <v>387</v>
      </c>
    </row>
    <row r="189" spans="1:15" s="185" customFormat="1" ht="150" customHeight="1" x14ac:dyDescent="0.3">
      <c r="A189" s="186"/>
      <c r="B189" s="45" t="s">
        <v>3</v>
      </c>
      <c r="C189" s="45" t="s">
        <v>397</v>
      </c>
      <c r="D189" s="45" t="s">
        <v>280</v>
      </c>
      <c r="E189" s="45" t="s">
        <v>4</v>
      </c>
      <c r="F189" s="45" t="s">
        <v>395</v>
      </c>
      <c r="G189" s="45" t="s">
        <v>396</v>
      </c>
      <c r="H189" s="45">
        <v>160</v>
      </c>
      <c r="I189" s="45">
        <v>0</v>
      </c>
      <c r="J189" s="45">
        <v>0</v>
      </c>
      <c r="K189" s="45">
        <v>0</v>
      </c>
      <c r="L189" s="45">
        <f>SUBTOTAL(9,H189:K189)</f>
        <v>160</v>
      </c>
      <c r="M189" s="45" t="s">
        <v>6</v>
      </c>
      <c r="N189" s="45" t="s">
        <v>12</v>
      </c>
      <c r="O189" s="45" t="s">
        <v>446</v>
      </c>
    </row>
    <row r="190" spans="1:15" s="190" customFormat="1" ht="60" x14ac:dyDescent="0.3">
      <c r="A190" s="172"/>
      <c r="B190" s="160" t="s">
        <v>3</v>
      </c>
      <c r="C190" s="160" t="s">
        <v>390</v>
      </c>
      <c r="D190" s="160" t="s">
        <v>280</v>
      </c>
      <c r="E190" s="160" t="s">
        <v>4</v>
      </c>
      <c r="F190" s="160" t="s">
        <v>388</v>
      </c>
      <c r="G190" s="160" t="s">
        <v>391</v>
      </c>
      <c r="H190" s="160">
        <v>10</v>
      </c>
      <c r="I190" s="160">
        <v>0</v>
      </c>
      <c r="J190" s="160">
        <v>83</v>
      </c>
      <c r="K190" s="160">
        <v>0</v>
      </c>
      <c r="L190" s="160">
        <v>93</v>
      </c>
      <c r="M190" s="160" t="s">
        <v>134</v>
      </c>
      <c r="N190" s="160" t="s">
        <v>12</v>
      </c>
      <c r="O190" s="160" t="s">
        <v>392</v>
      </c>
    </row>
    <row r="191" spans="1:15" ht="60" x14ac:dyDescent="0.3">
      <c r="A191" s="183"/>
      <c r="B191" s="160" t="s">
        <v>2</v>
      </c>
      <c r="C191" s="160" t="s">
        <v>381</v>
      </c>
      <c r="D191" s="160" t="s">
        <v>1028</v>
      </c>
      <c r="E191" s="160" t="s">
        <v>4</v>
      </c>
      <c r="F191" s="188">
        <v>45458</v>
      </c>
      <c r="G191" s="160" t="s">
        <v>382</v>
      </c>
      <c r="H191" s="160">
        <v>0</v>
      </c>
      <c r="I191" s="160">
        <v>8</v>
      </c>
      <c r="J191" s="160">
        <v>17</v>
      </c>
      <c r="K191" s="160">
        <v>0</v>
      </c>
      <c r="L191" s="160">
        <v>25</v>
      </c>
      <c r="M191" s="160" t="s">
        <v>1043</v>
      </c>
      <c r="N191" s="160" t="s">
        <v>12</v>
      </c>
      <c r="O191" s="160" t="s">
        <v>383</v>
      </c>
    </row>
    <row r="192" spans="1:15" s="189" customFormat="1" ht="144" customHeight="1" x14ac:dyDescent="0.3">
      <c r="A192" s="183"/>
      <c r="B192" s="160" t="s">
        <v>297</v>
      </c>
      <c r="C192" s="160" t="s">
        <v>384</v>
      </c>
      <c r="D192" s="160" t="s">
        <v>1028</v>
      </c>
      <c r="E192" s="160" t="s">
        <v>4</v>
      </c>
      <c r="F192" s="184">
        <v>45461</v>
      </c>
      <c r="G192" s="160" t="s">
        <v>5</v>
      </c>
      <c r="H192" s="160">
        <v>0</v>
      </c>
      <c r="I192" s="160">
        <v>0</v>
      </c>
      <c r="J192" s="160">
        <v>5</v>
      </c>
      <c r="K192" s="160">
        <v>0</v>
      </c>
      <c r="L192" s="160">
        <v>5</v>
      </c>
      <c r="M192" s="160" t="s">
        <v>10</v>
      </c>
      <c r="N192" s="160" t="s">
        <v>34</v>
      </c>
      <c r="O192" s="160" t="s">
        <v>386</v>
      </c>
    </row>
    <row r="193" spans="1:15" s="206" customFormat="1" ht="144" customHeight="1" x14ac:dyDescent="0.3">
      <c r="A193" s="208"/>
      <c r="B193" s="209" t="s">
        <v>2</v>
      </c>
      <c r="C193" s="209" t="s">
        <v>530</v>
      </c>
      <c r="D193" s="207" t="s">
        <v>1028</v>
      </c>
      <c r="E193" s="209" t="s">
        <v>16</v>
      </c>
      <c r="F193" s="210">
        <v>45469</v>
      </c>
      <c r="G193" s="209" t="s">
        <v>240</v>
      </c>
      <c r="H193" s="209">
        <v>0</v>
      </c>
      <c r="I193" s="209">
        <v>1</v>
      </c>
      <c r="J193" s="209">
        <v>11</v>
      </c>
      <c r="K193" s="209">
        <v>0</v>
      </c>
      <c r="L193" s="209">
        <v>12</v>
      </c>
      <c r="M193" s="209" t="s">
        <v>528</v>
      </c>
      <c r="N193" s="207" t="s">
        <v>12</v>
      </c>
      <c r="O193" s="209" t="s">
        <v>531</v>
      </c>
    </row>
    <row r="194" spans="1:15" ht="60" x14ac:dyDescent="0.3">
      <c r="A194" s="183"/>
      <c r="B194" s="160" t="s">
        <v>2</v>
      </c>
      <c r="C194" s="160" t="s">
        <v>393</v>
      </c>
      <c r="D194" s="160" t="s">
        <v>1028</v>
      </c>
      <c r="E194" s="160" t="s">
        <v>4</v>
      </c>
      <c r="F194" s="184">
        <v>45470</v>
      </c>
      <c r="G194" s="160" t="s">
        <v>5</v>
      </c>
      <c r="H194" s="160">
        <v>0</v>
      </c>
      <c r="I194" s="160">
        <v>6</v>
      </c>
      <c r="J194" s="160">
        <v>5</v>
      </c>
      <c r="K194" s="160">
        <v>0</v>
      </c>
      <c r="L194" s="160">
        <v>11</v>
      </c>
      <c r="M194" s="249" t="s">
        <v>11</v>
      </c>
      <c r="N194" s="160" t="s">
        <v>12</v>
      </c>
      <c r="O194" s="160" t="s">
        <v>394</v>
      </c>
    </row>
    <row r="195" spans="1:15" s="206" customFormat="1" ht="48" x14ac:dyDescent="0.3">
      <c r="A195" s="208"/>
      <c r="B195" s="209" t="s">
        <v>2</v>
      </c>
      <c r="C195" s="209" t="s">
        <v>527</v>
      </c>
      <c r="D195" s="207" t="s">
        <v>1028</v>
      </c>
      <c r="E195" s="207" t="s">
        <v>4</v>
      </c>
      <c r="F195" s="210">
        <v>45471</v>
      </c>
      <c r="G195" s="207" t="s">
        <v>5</v>
      </c>
      <c r="H195" s="209">
        <v>0</v>
      </c>
      <c r="I195" s="209">
        <v>2</v>
      </c>
      <c r="J195" s="209">
        <v>8</v>
      </c>
      <c r="K195" s="209">
        <v>0</v>
      </c>
      <c r="L195" s="209">
        <f>SUM(H195:K195)</f>
        <v>10</v>
      </c>
      <c r="M195" s="209" t="s">
        <v>528</v>
      </c>
      <c r="N195" s="207" t="s">
        <v>12</v>
      </c>
      <c r="O195" s="209" t="s">
        <v>529</v>
      </c>
    </row>
    <row r="196" spans="1:15" s="216" customFormat="1" ht="114.75" customHeight="1" x14ac:dyDescent="0.3">
      <c r="A196" s="208"/>
      <c r="B196" s="209" t="s">
        <v>32</v>
      </c>
      <c r="C196" s="209" t="s">
        <v>546</v>
      </c>
      <c r="D196" s="207" t="s">
        <v>1028</v>
      </c>
      <c r="E196" s="209" t="s">
        <v>4</v>
      </c>
      <c r="F196" s="210">
        <v>45471</v>
      </c>
      <c r="G196" s="209" t="s">
        <v>281</v>
      </c>
      <c r="H196" s="209">
        <v>7</v>
      </c>
      <c r="I196" s="209">
        <v>62</v>
      </c>
      <c r="J196" s="209">
        <v>118</v>
      </c>
      <c r="K196" s="209">
        <v>6</v>
      </c>
      <c r="L196" s="209">
        <v>193</v>
      </c>
      <c r="M196" s="209" t="s">
        <v>544</v>
      </c>
      <c r="N196" s="209" t="s">
        <v>12</v>
      </c>
      <c r="O196" s="209" t="s">
        <v>547</v>
      </c>
    </row>
    <row r="197" spans="1:15" ht="72" x14ac:dyDescent="0.3">
      <c r="A197" s="183"/>
      <c r="B197" s="160" t="s">
        <v>371</v>
      </c>
      <c r="C197" s="160" t="s">
        <v>399</v>
      </c>
      <c r="D197" s="160" t="s">
        <v>13</v>
      </c>
      <c r="E197" s="160" t="s">
        <v>4</v>
      </c>
      <c r="F197" s="184">
        <v>45472</v>
      </c>
      <c r="G197" s="160" t="s">
        <v>398</v>
      </c>
      <c r="H197" s="160">
        <v>30</v>
      </c>
      <c r="I197" s="160">
        <v>2</v>
      </c>
      <c r="J197" s="160">
        <v>3</v>
      </c>
      <c r="K197" s="160">
        <v>0</v>
      </c>
      <c r="L197" s="160">
        <f>SUM(H197:K197)</f>
        <v>35</v>
      </c>
      <c r="M197" s="160" t="s">
        <v>10</v>
      </c>
      <c r="N197" s="160" t="s">
        <v>34</v>
      </c>
      <c r="O197" s="160" t="s">
        <v>400</v>
      </c>
    </row>
    <row r="198" spans="1:15" s="218" customFormat="1" ht="60" x14ac:dyDescent="0.3">
      <c r="A198" s="208"/>
      <c r="B198" s="209" t="s">
        <v>27</v>
      </c>
      <c r="C198" s="209" t="s">
        <v>543</v>
      </c>
      <c r="D198" s="207" t="s">
        <v>1028</v>
      </c>
      <c r="E198" s="209" t="s">
        <v>4</v>
      </c>
      <c r="F198" s="210">
        <v>45477</v>
      </c>
      <c r="G198" s="209" t="s">
        <v>281</v>
      </c>
      <c r="H198" s="209">
        <v>0</v>
      </c>
      <c r="I198" s="209">
        <v>22</v>
      </c>
      <c r="J198" s="209">
        <v>28</v>
      </c>
      <c r="K198" s="209">
        <v>1</v>
      </c>
      <c r="L198" s="209">
        <v>51</v>
      </c>
      <c r="M198" s="209" t="s">
        <v>33</v>
      </c>
      <c r="N198" s="209" t="s">
        <v>12</v>
      </c>
      <c r="O198" s="209" t="s">
        <v>545</v>
      </c>
    </row>
    <row r="199" spans="1:15" ht="126.75" customHeight="1" x14ac:dyDescent="0.3">
      <c r="A199" s="183"/>
      <c r="B199" s="160" t="s">
        <v>371</v>
      </c>
      <c r="C199" s="160" t="s">
        <v>402</v>
      </c>
      <c r="D199" s="160" t="s">
        <v>13</v>
      </c>
      <c r="E199" s="160" t="s">
        <v>4</v>
      </c>
      <c r="F199" s="184" t="s">
        <v>401</v>
      </c>
      <c r="G199" s="160" t="s">
        <v>403</v>
      </c>
      <c r="H199" s="160">
        <v>30</v>
      </c>
      <c r="I199" s="160">
        <v>2</v>
      </c>
      <c r="J199" s="160">
        <v>4</v>
      </c>
      <c r="K199" s="160">
        <v>0</v>
      </c>
      <c r="L199" s="160">
        <f>SUM(H199:K199)</f>
        <v>36</v>
      </c>
      <c r="M199" s="160" t="s">
        <v>10</v>
      </c>
      <c r="N199" s="160" t="s">
        <v>34</v>
      </c>
      <c r="O199" s="160" t="s">
        <v>404</v>
      </c>
    </row>
    <row r="200" spans="1:15" ht="60" x14ac:dyDescent="0.3">
      <c r="A200" s="183"/>
      <c r="B200" s="160" t="s">
        <v>371</v>
      </c>
      <c r="C200" s="160" t="s">
        <v>405</v>
      </c>
      <c r="D200" s="160" t="s">
        <v>1028</v>
      </c>
      <c r="E200" s="160" t="s">
        <v>4</v>
      </c>
      <c r="F200" s="184">
        <v>45478</v>
      </c>
      <c r="G200" s="160" t="s">
        <v>406</v>
      </c>
      <c r="H200" s="160">
        <v>0</v>
      </c>
      <c r="I200" s="160">
        <v>3</v>
      </c>
      <c r="J200" s="160">
        <v>6</v>
      </c>
      <c r="K200" s="160">
        <v>0</v>
      </c>
      <c r="L200" s="160">
        <v>9</v>
      </c>
      <c r="M200" s="160" t="s">
        <v>10</v>
      </c>
      <c r="N200" s="160" t="s">
        <v>34</v>
      </c>
      <c r="O200" s="160" t="s">
        <v>407</v>
      </c>
    </row>
    <row r="201" spans="1:15" ht="48" x14ac:dyDescent="0.3">
      <c r="A201" s="183"/>
      <c r="B201" s="160" t="s">
        <v>371</v>
      </c>
      <c r="C201" s="160" t="s">
        <v>61</v>
      </c>
      <c r="D201" s="160" t="s">
        <v>1028</v>
      </c>
      <c r="E201" s="160" t="s">
        <v>4</v>
      </c>
      <c r="F201" s="184">
        <v>45482</v>
      </c>
      <c r="G201" s="160" t="s">
        <v>408</v>
      </c>
      <c r="H201" s="160">
        <v>2</v>
      </c>
      <c r="I201" s="160">
        <v>4</v>
      </c>
      <c r="J201" s="160">
        <v>18</v>
      </c>
      <c r="K201" s="160">
        <v>0</v>
      </c>
      <c r="L201" s="160">
        <v>24</v>
      </c>
      <c r="M201" s="160" t="s">
        <v>10</v>
      </c>
      <c r="N201" s="160" t="s">
        <v>34</v>
      </c>
      <c r="O201" s="160" t="s">
        <v>409</v>
      </c>
    </row>
    <row r="202" spans="1:15" s="257" customFormat="1" ht="132" x14ac:dyDescent="0.3">
      <c r="A202" s="208"/>
      <c r="B202" s="160" t="s">
        <v>3</v>
      </c>
      <c r="C202" s="45" t="s">
        <v>448</v>
      </c>
      <c r="D202" s="45" t="s">
        <v>280</v>
      </c>
      <c r="E202" s="45" t="s">
        <v>4</v>
      </c>
      <c r="F202" s="45" t="s">
        <v>447</v>
      </c>
      <c r="G202" s="45" t="s">
        <v>396</v>
      </c>
      <c r="H202" s="45">
        <v>192</v>
      </c>
      <c r="I202" s="45">
        <v>0</v>
      </c>
      <c r="J202" s="45">
        <v>0</v>
      </c>
      <c r="K202" s="45">
        <v>0</v>
      </c>
      <c r="L202" s="45">
        <f>SUBTOTAL(9,H202:K202)</f>
        <v>192</v>
      </c>
      <c r="M202" s="45" t="s">
        <v>6</v>
      </c>
      <c r="N202" s="45" t="s">
        <v>12</v>
      </c>
      <c r="O202" s="45" t="s">
        <v>449</v>
      </c>
    </row>
    <row r="203" spans="1:15" s="257" customFormat="1" ht="132" x14ac:dyDescent="0.3">
      <c r="A203" s="208"/>
      <c r="B203" s="160" t="s">
        <v>3</v>
      </c>
      <c r="C203" s="45" t="s">
        <v>448</v>
      </c>
      <c r="D203" s="45" t="s">
        <v>280</v>
      </c>
      <c r="E203" s="45" t="s">
        <v>4</v>
      </c>
      <c r="F203" s="45" t="s">
        <v>447</v>
      </c>
      <c r="G203" s="45" t="s">
        <v>396</v>
      </c>
      <c r="H203" s="45">
        <v>192</v>
      </c>
      <c r="I203" s="45">
        <v>0</v>
      </c>
      <c r="J203" s="45">
        <v>0</v>
      </c>
      <c r="K203" s="45">
        <v>0</v>
      </c>
      <c r="L203" s="45">
        <f>SUBTOTAL(9,H203:K203)</f>
        <v>192</v>
      </c>
      <c r="M203" s="45" t="s">
        <v>6</v>
      </c>
      <c r="N203" s="45" t="s">
        <v>12</v>
      </c>
      <c r="O203" s="45" t="s">
        <v>449</v>
      </c>
    </row>
    <row r="204" spans="1:15" s="257" customFormat="1" ht="60" x14ac:dyDescent="0.3">
      <c r="A204" s="208"/>
      <c r="B204" s="209" t="s">
        <v>2</v>
      </c>
      <c r="C204" s="209" t="s">
        <v>593</v>
      </c>
      <c r="D204" s="207" t="s">
        <v>1028</v>
      </c>
      <c r="E204" s="209" t="s">
        <v>4</v>
      </c>
      <c r="F204" s="210">
        <v>45494</v>
      </c>
      <c r="G204" s="209" t="s">
        <v>591</v>
      </c>
      <c r="H204" s="209">
        <v>0</v>
      </c>
      <c r="I204" s="209">
        <v>2</v>
      </c>
      <c r="J204" s="209">
        <v>12</v>
      </c>
      <c r="K204" s="209">
        <v>2</v>
      </c>
      <c r="L204" s="209">
        <v>14</v>
      </c>
      <c r="M204" s="209" t="s">
        <v>594</v>
      </c>
      <c r="N204" s="207" t="s">
        <v>12</v>
      </c>
      <c r="O204" s="209" t="s">
        <v>592</v>
      </c>
    </row>
    <row r="205" spans="1:15" s="257" customFormat="1" ht="36" x14ac:dyDescent="0.3">
      <c r="A205" s="208"/>
      <c r="B205" s="209" t="s">
        <v>2</v>
      </c>
      <c r="C205" s="209" t="s">
        <v>595</v>
      </c>
      <c r="D205" s="207" t="s">
        <v>1028</v>
      </c>
      <c r="E205" s="209" t="s">
        <v>4</v>
      </c>
      <c r="F205" s="210">
        <v>45498</v>
      </c>
      <c r="G205" s="209" t="s">
        <v>92</v>
      </c>
      <c r="H205" s="209">
        <v>0</v>
      </c>
      <c r="I205" s="209">
        <v>0</v>
      </c>
      <c r="J205" s="209">
        <v>8</v>
      </c>
      <c r="K205" s="209">
        <v>2</v>
      </c>
      <c r="L205" s="209">
        <v>8</v>
      </c>
      <c r="M205" s="209" t="s">
        <v>7</v>
      </c>
      <c r="N205" s="207" t="s">
        <v>12</v>
      </c>
      <c r="O205" s="209" t="s">
        <v>596</v>
      </c>
    </row>
    <row r="206" spans="1:15" ht="84" x14ac:dyDescent="0.3">
      <c r="A206" s="183"/>
      <c r="B206" s="160" t="s">
        <v>371</v>
      </c>
      <c r="C206" s="160" t="s">
        <v>410</v>
      </c>
      <c r="D206" s="160" t="s">
        <v>1028</v>
      </c>
      <c r="E206" s="160" t="s">
        <v>4</v>
      </c>
      <c r="F206" s="184">
        <v>45503</v>
      </c>
      <c r="G206" s="160" t="s">
        <v>5</v>
      </c>
      <c r="H206" s="160">
        <v>2</v>
      </c>
      <c r="I206" s="160">
        <v>0</v>
      </c>
      <c r="J206" s="160">
        <v>6</v>
      </c>
      <c r="K206" s="160">
        <v>0</v>
      </c>
      <c r="L206" s="160">
        <v>8</v>
      </c>
      <c r="M206" s="160" t="s">
        <v>10</v>
      </c>
      <c r="N206" s="160" t="s">
        <v>34</v>
      </c>
      <c r="O206" s="160" t="s">
        <v>411</v>
      </c>
    </row>
    <row r="207" spans="1:15" ht="84" x14ac:dyDescent="0.3">
      <c r="A207" s="183"/>
      <c r="B207" s="160" t="s">
        <v>371</v>
      </c>
      <c r="C207" s="160" t="s">
        <v>412</v>
      </c>
      <c r="D207" s="160" t="s">
        <v>84</v>
      </c>
      <c r="E207" s="160" t="s">
        <v>4</v>
      </c>
      <c r="F207" s="184">
        <v>45509</v>
      </c>
      <c r="G207" s="160" t="s">
        <v>414</v>
      </c>
      <c r="H207" s="160">
        <v>0</v>
      </c>
      <c r="I207" s="160">
        <v>0</v>
      </c>
      <c r="J207" s="160">
        <v>2</v>
      </c>
      <c r="K207" s="160">
        <v>0</v>
      </c>
      <c r="L207" s="160">
        <v>2</v>
      </c>
      <c r="M207" s="160" t="s">
        <v>10</v>
      </c>
      <c r="N207" s="160" t="s">
        <v>31</v>
      </c>
      <c r="O207" s="160" t="s">
        <v>413</v>
      </c>
    </row>
    <row r="208" spans="1:15" s="191" customFormat="1" ht="320.25" customHeight="1" x14ac:dyDescent="0.3">
      <c r="A208" s="183"/>
      <c r="B208" s="160" t="s">
        <v>8</v>
      </c>
      <c r="C208" s="160" t="s">
        <v>417</v>
      </c>
      <c r="D208" s="160" t="s">
        <v>1028</v>
      </c>
      <c r="E208" s="160" t="s">
        <v>4</v>
      </c>
      <c r="F208" s="184">
        <v>45526</v>
      </c>
      <c r="G208" s="160" t="s">
        <v>5</v>
      </c>
      <c r="H208" s="160">
        <v>31</v>
      </c>
      <c r="I208" s="160">
        <v>15</v>
      </c>
      <c r="J208" s="160">
        <v>45</v>
      </c>
      <c r="K208" s="160">
        <v>0</v>
      </c>
      <c r="L208" s="160">
        <f>SUM(H208:K208)</f>
        <v>91</v>
      </c>
      <c r="M208" s="160" t="s">
        <v>6</v>
      </c>
      <c r="N208" s="160" t="s">
        <v>12</v>
      </c>
      <c r="O208" s="160" t="s">
        <v>418</v>
      </c>
    </row>
    <row r="209" spans="1:15" ht="60" x14ac:dyDescent="0.3">
      <c r="A209" s="183"/>
      <c r="B209" s="160" t="s">
        <v>371</v>
      </c>
      <c r="C209" s="160" t="s">
        <v>415</v>
      </c>
      <c r="D209" s="160" t="s">
        <v>1028</v>
      </c>
      <c r="E209" s="160" t="s">
        <v>4</v>
      </c>
      <c r="F209" s="184">
        <v>45526</v>
      </c>
      <c r="G209" s="160" t="s">
        <v>5</v>
      </c>
      <c r="H209" s="160">
        <v>0</v>
      </c>
      <c r="I209" s="160">
        <v>3</v>
      </c>
      <c r="J209" s="160">
        <v>12</v>
      </c>
      <c r="K209" s="160">
        <v>0</v>
      </c>
      <c r="L209" s="160">
        <v>15</v>
      </c>
      <c r="M209" s="160" t="s">
        <v>10</v>
      </c>
      <c r="N209" s="160" t="s">
        <v>34</v>
      </c>
      <c r="O209" s="160" t="s">
        <v>416</v>
      </c>
    </row>
    <row r="210" spans="1:15" s="192" customFormat="1" ht="162" customHeight="1" x14ac:dyDescent="0.3">
      <c r="A210" s="183"/>
      <c r="B210" s="160" t="s">
        <v>423</v>
      </c>
      <c r="C210" s="160" t="s">
        <v>424</v>
      </c>
      <c r="D210" s="160" t="s">
        <v>13</v>
      </c>
      <c r="E210" s="160" t="s">
        <v>4</v>
      </c>
      <c r="F210" s="184">
        <v>45529</v>
      </c>
      <c r="G210" s="160" t="s">
        <v>425</v>
      </c>
      <c r="H210" s="160">
        <v>2</v>
      </c>
      <c r="I210" s="160">
        <v>0</v>
      </c>
      <c r="J210" s="160">
        <v>50</v>
      </c>
      <c r="K210" s="160">
        <v>0</v>
      </c>
      <c r="L210" s="160">
        <f>SUM(H210:K210)</f>
        <v>52</v>
      </c>
      <c r="M210" s="160" t="s">
        <v>6</v>
      </c>
      <c r="N210" s="160" t="s">
        <v>31</v>
      </c>
      <c r="O210" s="160" t="s">
        <v>426</v>
      </c>
    </row>
    <row r="211" spans="1:15" s="193" customFormat="1" ht="87.75" customHeight="1" x14ac:dyDescent="0.3">
      <c r="A211" s="183"/>
      <c r="B211" s="160" t="s">
        <v>371</v>
      </c>
      <c r="C211" s="160" t="s">
        <v>429</v>
      </c>
      <c r="D211" s="160" t="s">
        <v>1028</v>
      </c>
      <c r="E211" s="160" t="s">
        <v>4</v>
      </c>
      <c r="F211" s="184">
        <v>45533</v>
      </c>
      <c r="G211" s="160" t="s">
        <v>5</v>
      </c>
      <c r="H211" s="160">
        <v>4</v>
      </c>
      <c r="I211" s="160">
        <v>4</v>
      </c>
      <c r="J211" s="160">
        <v>10</v>
      </c>
      <c r="K211" s="160">
        <v>0</v>
      </c>
      <c r="L211" s="160">
        <f>SUM(H211:K211)</f>
        <v>18</v>
      </c>
      <c r="M211" s="160" t="s">
        <v>428</v>
      </c>
      <c r="N211" s="160" t="s">
        <v>12</v>
      </c>
      <c r="O211" s="160" t="s">
        <v>427</v>
      </c>
    </row>
    <row r="212" spans="1:15" ht="38.25" customHeight="1" x14ac:dyDescent="0.3">
      <c r="A212" s="183"/>
      <c r="B212" s="160" t="s">
        <v>371</v>
      </c>
      <c r="C212" s="160" t="s">
        <v>431</v>
      </c>
      <c r="D212" s="160" t="s">
        <v>1028</v>
      </c>
      <c r="E212" s="160" t="s">
        <v>4</v>
      </c>
      <c r="F212" s="184">
        <v>45537</v>
      </c>
      <c r="G212" s="160" t="s">
        <v>5</v>
      </c>
      <c r="H212" s="160">
        <v>0</v>
      </c>
      <c r="I212" s="160">
        <v>3</v>
      </c>
      <c r="J212" s="160">
        <v>8</v>
      </c>
      <c r="K212" s="160">
        <v>0</v>
      </c>
      <c r="L212" s="160">
        <v>11</v>
      </c>
      <c r="M212" s="160" t="s">
        <v>10</v>
      </c>
      <c r="N212" s="160" t="s">
        <v>34</v>
      </c>
      <c r="O212" s="160" t="s">
        <v>419</v>
      </c>
    </row>
    <row r="213" spans="1:15" s="193" customFormat="1" ht="78" customHeight="1" x14ac:dyDescent="0.3">
      <c r="A213" s="183"/>
      <c r="B213" s="160" t="s">
        <v>60</v>
      </c>
      <c r="C213" s="160" t="s">
        <v>431</v>
      </c>
      <c r="D213" s="160" t="s">
        <v>1028</v>
      </c>
      <c r="E213" s="160" t="s">
        <v>4</v>
      </c>
      <c r="F213" s="184">
        <v>45537</v>
      </c>
      <c r="G213" s="160" t="s">
        <v>5</v>
      </c>
      <c r="H213" s="160">
        <v>9</v>
      </c>
      <c r="I213" s="160">
        <v>39</v>
      </c>
      <c r="J213" s="160">
        <v>157</v>
      </c>
      <c r="K213" s="160">
        <v>6</v>
      </c>
      <c r="L213" s="160">
        <f t="shared" ref="L213:L218" si="3">SUM(H213:K213)</f>
        <v>211</v>
      </c>
      <c r="M213" s="160" t="s">
        <v>6</v>
      </c>
      <c r="N213" s="160" t="s">
        <v>12</v>
      </c>
      <c r="O213" s="160" t="s">
        <v>430</v>
      </c>
    </row>
    <row r="214" spans="1:15" s="193" customFormat="1" ht="177.75" customHeight="1" x14ac:dyDescent="0.3">
      <c r="A214" s="183"/>
      <c r="B214" s="160" t="s">
        <v>352</v>
      </c>
      <c r="C214" s="160" t="s">
        <v>432</v>
      </c>
      <c r="D214" s="160" t="s">
        <v>1028</v>
      </c>
      <c r="E214" s="160" t="s">
        <v>4</v>
      </c>
      <c r="F214" s="184">
        <v>45537</v>
      </c>
      <c r="G214" s="160" t="s">
        <v>5</v>
      </c>
      <c r="H214" s="160">
        <v>7</v>
      </c>
      <c r="I214" s="160">
        <v>0</v>
      </c>
      <c r="J214" s="160">
        <v>40</v>
      </c>
      <c r="K214" s="160">
        <v>0</v>
      </c>
      <c r="L214" s="160">
        <f t="shared" si="3"/>
        <v>47</v>
      </c>
      <c r="M214" s="160" t="s">
        <v>6</v>
      </c>
      <c r="N214" s="160" t="s">
        <v>12</v>
      </c>
      <c r="O214" s="160" t="s">
        <v>433</v>
      </c>
    </row>
    <row r="215" spans="1:15" s="193" customFormat="1" ht="177.75" customHeight="1" x14ac:dyDescent="0.3">
      <c r="A215" s="183"/>
      <c r="B215" s="160" t="s">
        <v>352</v>
      </c>
      <c r="C215" s="160" t="s">
        <v>434</v>
      </c>
      <c r="D215" s="160" t="s">
        <v>1028</v>
      </c>
      <c r="E215" s="160" t="s">
        <v>4</v>
      </c>
      <c r="F215" s="184">
        <v>45538</v>
      </c>
      <c r="G215" s="160" t="s">
        <v>5</v>
      </c>
      <c r="H215" s="160">
        <v>21</v>
      </c>
      <c r="I215" s="160">
        <v>190</v>
      </c>
      <c r="J215" s="160">
        <v>294</v>
      </c>
      <c r="K215" s="160">
        <v>6</v>
      </c>
      <c r="L215" s="160">
        <f t="shared" si="3"/>
        <v>511</v>
      </c>
      <c r="M215" s="160" t="s">
        <v>437</v>
      </c>
      <c r="N215" s="160" t="s">
        <v>12</v>
      </c>
      <c r="O215" s="160" t="s">
        <v>436</v>
      </c>
    </row>
    <row r="216" spans="1:15" s="193" customFormat="1" ht="177.75" customHeight="1" x14ac:dyDescent="0.3">
      <c r="A216" s="183"/>
      <c r="B216" s="160" t="s">
        <v>352</v>
      </c>
      <c r="C216" s="160" t="s">
        <v>438</v>
      </c>
      <c r="D216" s="160" t="s">
        <v>13</v>
      </c>
      <c r="E216" s="160" t="s">
        <v>4</v>
      </c>
      <c r="F216" s="184">
        <v>45538</v>
      </c>
      <c r="G216" s="160" t="s">
        <v>435</v>
      </c>
      <c r="H216" s="160">
        <v>21</v>
      </c>
      <c r="I216" s="160">
        <v>190</v>
      </c>
      <c r="J216" s="160">
        <v>294</v>
      </c>
      <c r="K216" s="160">
        <v>6</v>
      </c>
      <c r="L216" s="160">
        <f t="shared" si="3"/>
        <v>511</v>
      </c>
      <c r="M216" s="160" t="s">
        <v>437</v>
      </c>
      <c r="N216" s="160" t="s">
        <v>31</v>
      </c>
      <c r="O216" s="160" t="s">
        <v>439</v>
      </c>
    </row>
    <row r="217" spans="1:15" s="193" customFormat="1" ht="177.75" customHeight="1" x14ac:dyDescent="0.3">
      <c r="A217" s="183"/>
      <c r="B217" s="160" t="s">
        <v>352</v>
      </c>
      <c r="C217" s="160" t="s">
        <v>440</v>
      </c>
      <c r="D217" s="160" t="s">
        <v>1028</v>
      </c>
      <c r="E217" s="160" t="s">
        <v>4</v>
      </c>
      <c r="F217" s="184">
        <v>45538</v>
      </c>
      <c r="G217" s="160" t="s">
        <v>5</v>
      </c>
      <c r="H217" s="160">
        <v>14</v>
      </c>
      <c r="I217" s="160">
        <v>48</v>
      </c>
      <c r="J217" s="160">
        <v>94</v>
      </c>
      <c r="K217" s="160">
        <v>11</v>
      </c>
      <c r="L217" s="160">
        <f t="shared" si="3"/>
        <v>167</v>
      </c>
      <c r="M217" s="160" t="s">
        <v>437</v>
      </c>
      <c r="N217" s="160" t="s">
        <v>12</v>
      </c>
      <c r="O217" s="160" t="s">
        <v>441</v>
      </c>
    </row>
    <row r="218" spans="1:15" s="193" customFormat="1" ht="177.75" customHeight="1" x14ac:dyDescent="0.3">
      <c r="A218" s="183"/>
      <c r="B218" s="160" t="s">
        <v>352</v>
      </c>
      <c r="C218" s="160" t="s">
        <v>442</v>
      </c>
      <c r="D218" s="160" t="s">
        <v>1028</v>
      </c>
      <c r="E218" s="160" t="s">
        <v>4</v>
      </c>
      <c r="F218" s="184">
        <v>45538</v>
      </c>
      <c r="G218" s="160" t="s">
        <v>5</v>
      </c>
      <c r="H218" s="160">
        <v>6</v>
      </c>
      <c r="I218" s="160">
        <v>0</v>
      </c>
      <c r="J218" s="160">
        <v>0</v>
      </c>
      <c r="K218" s="160">
        <v>35</v>
      </c>
      <c r="L218" s="160">
        <f t="shared" si="3"/>
        <v>41</v>
      </c>
      <c r="M218" s="160" t="s">
        <v>437</v>
      </c>
      <c r="N218" s="160" t="s">
        <v>12</v>
      </c>
      <c r="O218" s="160" t="s">
        <v>443</v>
      </c>
    </row>
    <row r="219" spans="1:15" ht="48" x14ac:dyDescent="0.3">
      <c r="A219" s="183"/>
      <c r="B219" s="160" t="s">
        <v>371</v>
      </c>
      <c r="C219" s="160" t="s">
        <v>422</v>
      </c>
      <c r="D219" s="160" t="s">
        <v>280</v>
      </c>
      <c r="E219" s="160" t="s">
        <v>4</v>
      </c>
      <c r="F219" s="184" t="s">
        <v>1033</v>
      </c>
      <c r="G219" s="160" t="s">
        <v>420</v>
      </c>
      <c r="H219" s="160">
        <v>0</v>
      </c>
      <c r="I219" s="160">
        <v>2</v>
      </c>
      <c r="J219" s="160">
        <v>3</v>
      </c>
      <c r="K219" s="160">
        <v>0</v>
      </c>
      <c r="L219" s="160">
        <v>5</v>
      </c>
      <c r="M219" s="160" t="s">
        <v>10</v>
      </c>
      <c r="N219" s="160" t="s">
        <v>34</v>
      </c>
      <c r="O219" s="160" t="s">
        <v>421</v>
      </c>
    </row>
    <row r="220" spans="1:15" ht="36" x14ac:dyDescent="0.3">
      <c r="A220" s="160"/>
      <c r="B220" s="160" t="s">
        <v>365</v>
      </c>
      <c r="C220" s="160" t="s">
        <v>444</v>
      </c>
      <c r="D220" s="160" t="s">
        <v>1028</v>
      </c>
      <c r="E220" s="160" t="s">
        <v>4</v>
      </c>
      <c r="F220" s="184">
        <v>45540</v>
      </c>
      <c r="G220" s="160" t="s">
        <v>5</v>
      </c>
      <c r="H220" s="160">
        <v>3</v>
      </c>
      <c r="I220" s="160">
        <v>5</v>
      </c>
      <c r="J220" s="160">
        <v>20</v>
      </c>
      <c r="K220" s="160">
        <v>0</v>
      </c>
      <c r="L220" s="160">
        <f>SUM(H220:K220)</f>
        <v>28</v>
      </c>
      <c r="M220" s="160" t="s">
        <v>6</v>
      </c>
      <c r="N220" s="160" t="s">
        <v>12</v>
      </c>
      <c r="O220" s="160" t="s">
        <v>445</v>
      </c>
    </row>
    <row r="221" spans="1:15" ht="48" x14ac:dyDescent="0.3">
      <c r="A221" s="183"/>
      <c r="B221" s="160" t="s">
        <v>2</v>
      </c>
      <c r="C221" s="160" t="s">
        <v>450</v>
      </c>
      <c r="D221" s="160" t="s">
        <v>1028</v>
      </c>
      <c r="E221" s="160" t="s">
        <v>4</v>
      </c>
      <c r="F221" s="184">
        <v>45540</v>
      </c>
      <c r="G221" s="160" t="s">
        <v>5</v>
      </c>
      <c r="H221" s="160">
        <v>110</v>
      </c>
      <c r="I221" s="160">
        <v>140</v>
      </c>
      <c r="J221" s="160">
        <v>245</v>
      </c>
      <c r="K221" s="160">
        <v>45</v>
      </c>
      <c r="L221" s="160">
        <f>SUBTOTAL(9,H221:K221)</f>
        <v>540</v>
      </c>
      <c r="M221" s="160" t="s">
        <v>6</v>
      </c>
      <c r="N221" s="160" t="s">
        <v>12</v>
      </c>
      <c r="O221" s="160" t="s">
        <v>451</v>
      </c>
    </row>
    <row r="222" spans="1:15" s="193" customFormat="1" ht="204" x14ac:dyDescent="0.3">
      <c r="A222" s="183"/>
      <c r="B222" s="160" t="s">
        <v>365</v>
      </c>
      <c r="C222" s="194" t="s">
        <v>455</v>
      </c>
      <c r="D222" s="160" t="s">
        <v>1028</v>
      </c>
      <c r="E222" s="160" t="s">
        <v>4</v>
      </c>
      <c r="F222" s="184" t="s">
        <v>1031</v>
      </c>
      <c r="G222" s="160" t="s">
        <v>318</v>
      </c>
      <c r="H222" s="160"/>
      <c r="I222" s="160"/>
      <c r="J222" s="160"/>
      <c r="K222" s="160"/>
      <c r="L222" s="160"/>
      <c r="M222" s="160" t="s">
        <v>33</v>
      </c>
      <c r="N222" s="160" t="s">
        <v>12</v>
      </c>
      <c r="O222" s="160" t="s">
        <v>456</v>
      </c>
    </row>
    <row r="223" spans="1:15" s="225" customFormat="1" ht="60" x14ac:dyDescent="0.3">
      <c r="A223" s="208"/>
      <c r="B223" s="209" t="s">
        <v>27</v>
      </c>
      <c r="C223" s="209" t="s">
        <v>923</v>
      </c>
      <c r="D223" s="207" t="s">
        <v>1028</v>
      </c>
      <c r="E223" s="209" t="s">
        <v>4</v>
      </c>
      <c r="F223" s="210">
        <v>45541</v>
      </c>
      <c r="G223" s="209" t="s">
        <v>556</v>
      </c>
      <c r="H223" s="209">
        <v>0</v>
      </c>
      <c r="I223" s="209">
        <v>0</v>
      </c>
      <c r="J223" s="209">
        <v>32</v>
      </c>
      <c r="K223" s="209">
        <v>0</v>
      </c>
      <c r="L223" s="209">
        <v>32</v>
      </c>
      <c r="M223" s="209" t="s">
        <v>558</v>
      </c>
      <c r="N223" s="209" t="s">
        <v>12</v>
      </c>
      <c r="O223" s="209" t="s">
        <v>557</v>
      </c>
    </row>
    <row r="224" spans="1:15" ht="60" x14ac:dyDescent="0.3">
      <c r="A224" s="183"/>
      <c r="B224" s="160" t="s">
        <v>365</v>
      </c>
      <c r="C224" s="194" t="s">
        <v>452</v>
      </c>
      <c r="D224" s="160" t="s">
        <v>84</v>
      </c>
      <c r="E224" s="160" t="s">
        <v>4</v>
      </c>
      <c r="F224" s="184">
        <v>45543</v>
      </c>
      <c r="G224" s="160" t="s">
        <v>453</v>
      </c>
      <c r="H224" s="160"/>
      <c r="I224" s="160"/>
      <c r="J224" s="160"/>
      <c r="K224" s="160"/>
      <c r="L224" s="160"/>
      <c r="M224" s="160" t="s">
        <v>6</v>
      </c>
      <c r="N224" s="160" t="s">
        <v>31</v>
      </c>
      <c r="O224" s="160" t="s">
        <v>454</v>
      </c>
    </row>
    <row r="225" spans="1:15" s="193" customFormat="1" ht="108" x14ac:dyDescent="0.3">
      <c r="A225" s="183"/>
      <c r="B225" s="160" t="s">
        <v>2</v>
      </c>
      <c r="C225" s="195" t="s">
        <v>479</v>
      </c>
      <c r="D225" s="160" t="s">
        <v>1028</v>
      </c>
      <c r="E225" s="160" t="s">
        <v>4</v>
      </c>
      <c r="F225" s="184">
        <v>45544</v>
      </c>
      <c r="G225" s="160" t="s">
        <v>5</v>
      </c>
      <c r="H225" s="160">
        <v>0</v>
      </c>
      <c r="I225" s="160">
        <v>6</v>
      </c>
      <c r="J225" s="160">
        <v>12</v>
      </c>
      <c r="K225" s="160">
        <v>0</v>
      </c>
      <c r="L225" s="160">
        <f>SUM(H225:K225)</f>
        <v>18</v>
      </c>
      <c r="M225" s="160" t="s">
        <v>11</v>
      </c>
      <c r="N225" s="160" t="s">
        <v>12</v>
      </c>
      <c r="O225" s="160" t="s">
        <v>755</v>
      </c>
    </row>
    <row r="226" spans="1:15" s="193" customFormat="1" ht="112.5" customHeight="1" x14ac:dyDescent="0.3">
      <c r="A226" s="183"/>
      <c r="B226" s="160" t="s">
        <v>365</v>
      </c>
      <c r="C226" s="195" t="s">
        <v>457</v>
      </c>
      <c r="D226" s="160" t="s">
        <v>1028</v>
      </c>
      <c r="E226" s="160" t="s">
        <v>4</v>
      </c>
      <c r="F226" s="184">
        <v>45545</v>
      </c>
      <c r="G226" s="160" t="s">
        <v>5</v>
      </c>
      <c r="H226" s="160">
        <v>7</v>
      </c>
      <c r="I226" s="160">
        <v>79</v>
      </c>
      <c r="J226" s="160">
        <v>84</v>
      </c>
      <c r="K226" s="160">
        <v>0</v>
      </c>
      <c r="L226" s="160">
        <f>SUBTOTAL(9,H226:K226)</f>
        <v>170</v>
      </c>
      <c r="M226" s="160" t="s">
        <v>6</v>
      </c>
      <c r="N226" s="160" t="s">
        <v>12</v>
      </c>
      <c r="O226" s="160" t="s">
        <v>458</v>
      </c>
    </row>
    <row r="227" spans="1:15" s="200" customFormat="1" ht="108" x14ac:dyDescent="0.3">
      <c r="A227" s="183"/>
      <c r="B227" s="201" t="s">
        <v>2</v>
      </c>
      <c r="C227" s="195" t="s">
        <v>488</v>
      </c>
      <c r="D227" s="201" t="s">
        <v>1028</v>
      </c>
      <c r="E227" s="201" t="s">
        <v>4</v>
      </c>
      <c r="F227" s="184">
        <v>45545</v>
      </c>
      <c r="G227" s="201" t="s">
        <v>5</v>
      </c>
      <c r="H227" s="201">
        <v>0</v>
      </c>
      <c r="I227" s="201">
        <v>3</v>
      </c>
      <c r="J227" s="201">
        <v>30</v>
      </c>
      <c r="K227" s="201">
        <v>0</v>
      </c>
      <c r="L227" s="201">
        <v>33</v>
      </c>
      <c r="M227" s="201" t="s">
        <v>149</v>
      </c>
      <c r="N227" s="201" t="s">
        <v>12</v>
      </c>
      <c r="O227" s="201" t="s">
        <v>487</v>
      </c>
    </row>
    <row r="228" spans="1:15" ht="259.5" customHeight="1" x14ac:dyDescent="0.3">
      <c r="A228" s="172"/>
      <c r="B228" s="160" t="s">
        <v>365</v>
      </c>
      <c r="C228" s="195" t="s">
        <v>461</v>
      </c>
      <c r="D228" s="160" t="s">
        <v>1028</v>
      </c>
      <c r="E228" s="160" t="s">
        <v>4</v>
      </c>
      <c r="F228" s="184">
        <v>45546</v>
      </c>
      <c r="G228" s="160" t="s">
        <v>5</v>
      </c>
      <c r="H228" s="196">
        <v>3</v>
      </c>
      <c r="I228" s="196">
        <v>97</v>
      </c>
      <c r="J228" s="196">
        <v>189</v>
      </c>
      <c r="K228" s="196">
        <v>15</v>
      </c>
      <c r="L228" s="196">
        <f>SUM(H228:K228)</f>
        <v>304</v>
      </c>
      <c r="M228" s="160" t="s">
        <v>6</v>
      </c>
      <c r="N228" s="160" t="s">
        <v>12</v>
      </c>
      <c r="O228" s="197" t="s">
        <v>483</v>
      </c>
    </row>
    <row r="229" spans="1:15" ht="84" x14ac:dyDescent="0.3">
      <c r="A229" s="183"/>
      <c r="B229" s="160" t="s">
        <v>365</v>
      </c>
      <c r="C229" s="160" t="s">
        <v>459</v>
      </c>
      <c r="D229" s="160" t="s">
        <v>1028</v>
      </c>
      <c r="E229" s="160" t="s">
        <v>4</v>
      </c>
      <c r="F229" s="184">
        <v>45546</v>
      </c>
      <c r="G229" s="160" t="s">
        <v>5</v>
      </c>
      <c r="H229" s="160">
        <v>11</v>
      </c>
      <c r="I229" s="160">
        <v>37</v>
      </c>
      <c r="J229" s="160">
        <v>79</v>
      </c>
      <c r="K229" s="160">
        <v>0</v>
      </c>
      <c r="L229" s="160">
        <f>SUBTOTAL(9,H229:K229)</f>
        <v>127</v>
      </c>
      <c r="M229" s="160" t="s">
        <v>6</v>
      </c>
      <c r="N229" s="160" t="s">
        <v>12</v>
      </c>
      <c r="O229" s="160" t="s">
        <v>460</v>
      </c>
    </row>
    <row r="230" spans="1:15" ht="63" customHeight="1" x14ac:dyDescent="0.3">
      <c r="A230" s="183"/>
      <c r="B230" s="160" t="s">
        <v>365</v>
      </c>
      <c r="C230" s="195" t="s">
        <v>462</v>
      </c>
      <c r="D230" s="160" t="s">
        <v>1028</v>
      </c>
      <c r="E230" s="160" t="s">
        <v>4</v>
      </c>
      <c r="F230" s="184">
        <v>45547</v>
      </c>
      <c r="G230" s="160" t="s">
        <v>5</v>
      </c>
      <c r="H230" s="198">
        <v>0</v>
      </c>
      <c r="I230" s="198">
        <v>94</v>
      </c>
      <c r="J230" s="198">
        <v>189</v>
      </c>
      <c r="K230" s="198">
        <v>15</v>
      </c>
      <c r="L230" s="198">
        <f>SUM(H230:K230)</f>
        <v>298</v>
      </c>
      <c r="M230" s="160" t="s">
        <v>6</v>
      </c>
      <c r="N230" s="160" t="s">
        <v>12</v>
      </c>
      <c r="O230" s="160" t="s">
        <v>484</v>
      </c>
    </row>
    <row r="231" spans="1:15" s="206" customFormat="1" ht="203.25" customHeight="1" x14ac:dyDescent="0.3">
      <c r="A231" s="208"/>
      <c r="B231" s="209" t="s">
        <v>175</v>
      </c>
      <c r="C231" s="214" t="s">
        <v>537</v>
      </c>
      <c r="D231" s="209" t="s">
        <v>1029</v>
      </c>
      <c r="E231" s="209" t="s">
        <v>4</v>
      </c>
      <c r="F231" s="210">
        <v>45547</v>
      </c>
      <c r="G231" s="209" t="s">
        <v>5</v>
      </c>
      <c r="H231" s="209">
        <v>0</v>
      </c>
      <c r="I231" s="209">
        <v>0</v>
      </c>
      <c r="J231" s="209">
        <v>55</v>
      </c>
      <c r="K231" s="209">
        <v>9</v>
      </c>
      <c r="L231" s="209">
        <v>55</v>
      </c>
      <c r="M231" s="209" t="s">
        <v>539</v>
      </c>
      <c r="N231" s="209" t="s">
        <v>12</v>
      </c>
      <c r="O231" s="209" t="s">
        <v>538</v>
      </c>
    </row>
    <row r="232" spans="1:15" ht="36" x14ac:dyDescent="0.3">
      <c r="A232" s="183"/>
      <c r="B232" s="160" t="s">
        <v>365</v>
      </c>
      <c r="C232" s="195" t="s">
        <v>463</v>
      </c>
      <c r="D232" s="160" t="s">
        <v>1028</v>
      </c>
      <c r="E232" s="160" t="s">
        <v>4</v>
      </c>
      <c r="F232" s="184">
        <v>45548</v>
      </c>
      <c r="G232" s="160" t="s">
        <v>5</v>
      </c>
      <c r="H232" s="199">
        <v>0</v>
      </c>
      <c r="I232" s="199">
        <v>97</v>
      </c>
      <c r="J232" s="199">
        <v>189</v>
      </c>
      <c r="K232" s="199">
        <v>15</v>
      </c>
      <c r="L232" s="198">
        <f>SUM(H232:K232)</f>
        <v>301</v>
      </c>
      <c r="M232" s="160" t="s">
        <v>6</v>
      </c>
      <c r="N232" s="160" t="s">
        <v>12</v>
      </c>
      <c r="O232" s="202" t="s">
        <v>485</v>
      </c>
    </row>
    <row r="233" spans="1:15" s="226" customFormat="1" ht="36" x14ac:dyDescent="0.3">
      <c r="A233" s="208"/>
      <c r="B233" s="209" t="s">
        <v>2</v>
      </c>
      <c r="C233" s="214" t="s">
        <v>595</v>
      </c>
      <c r="D233" s="207" t="s">
        <v>1028</v>
      </c>
      <c r="E233" s="209" t="s">
        <v>4</v>
      </c>
      <c r="F233" s="210">
        <v>45548</v>
      </c>
      <c r="G233" s="209" t="s">
        <v>92</v>
      </c>
      <c r="H233" s="209">
        <v>0</v>
      </c>
      <c r="I233" s="209">
        <v>2</v>
      </c>
      <c r="J233" s="209">
        <v>16</v>
      </c>
      <c r="K233" s="209">
        <v>5</v>
      </c>
      <c r="L233" s="209">
        <v>18</v>
      </c>
      <c r="M233" s="209" t="s">
        <v>7</v>
      </c>
      <c r="N233" s="207" t="s">
        <v>12</v>
      </c>
      <c r="O233" s="219" t="s">
        <v>597</v>
      </c>
    </row>
    <row r="234" spans="1:15" s="238" customFormat="1" ht="48" x14ac:dyDescent="0.3">
      <c r="A234" s="208"/>
      <c r="B234" s="209" t="s">
        <v>3</v>
      </c>
      <c r="C234" s="214" t="s">
        <v>221</v>
      </c>
      <c r="D234" s="209" t="s">
        <v>1028</v>
      </c>
      <c r="E234" s="209" t="s">
        <v>4</v>
      </c>
      <c r="F234" s="210">
        <v>45550</v>
      </c>
      <c r="G234" s="209" t="s">
        <v>222</v>
      </c>
      <c r="H234" s="209">
        <v>1</v>
      </c>
      <c r="I234" s="209">
        <v>0</v>
      </c>
      <c r="J234" s="209">
        <v>20</v>
      </c>
      <c r="K234" s="209">
        <v>0</v>
      </c>
      <c r="L234" s="209">
        <v>21</v>
      </c>
      <c r="M234" s="209" t="s">
        <v>62</v>
      </c>
      <c r="N234" s="209" t="s">
        <v>12</v>
      </c>
      <c r="O234" s="219" t="s">
        <v>627</v>
      </c>
    </row>
    <row r="235" spans="1:15" s="193" customFormat="1" ht="60" x14ac:dyDescent="0.3">
      <c r="A235" s="183"/>
      <c r="B235" s="160" t="s">
        <v>2</v>
      </c>
      <c r="C235" s="195" t="s">
        <v>603</v>
      </c>
      <c r="D235" s="160" t="s">
        <v>1028</v>
      </c>
      <c r="E235" s="160" t="s">
        <v>4</v>
      </c>
      <c r="F235" s="184">
        <v>45551</v>
      </c>
      <c r="G235" s="160" t="s">
        <v>5</v>
      </c>
      <c r="H235" s="160">
        <v>0</v>
      </c>
      <c r="I235" s="160">
        <v>0</v>
      </c>
      <c r="J235" s="160">
        <v>5</v>
      </c>
      <c r="K235" s="160">
        <v>0</v>
      </c>
      <c r="L235" s="160">
        <v>5</v>
      </c>
      <c r="M235" s="160" t="s">
        <v>11</v>
      </c>
      <c r="N235" s="160" t="s">
        <v>12</v>
      </c>
      <c r="O235" s="160" t="s">
        <v>756</v>
      </c>
    </row>
    <row r="236" spans="1:15" ht="84" x14ac:dyDescent="0.3">
      <c r="A236" s="183"/>
      <c r="B236" s="160" t="s">
        <v>365</v>
      </c>
      <c r="C236" s="194" t="s">
        <v>464</v>
      </c>
      <c r="D236" s="160" t="s">
        <v>1028</v>
      </c>
      <c r="E236" s="160" t="s">
        <v>4</v>
      </c>
      <c r="F236" s="184">
        <v>45551</v>
      </c>
      <c r="G236" s="160" t="s">
        <v>5</v>
      </c>
      <c r="H236" s="160"/>
      <c r="I236" s="160"/>
      <c r="J236" s="160"/>
      <c r="K236" s="160"/>
      <c r="L236" s="160"/>
      <c r="M236" s="160" t="s">
        <v>6</v>
      </c>
      <c r="N236" s="160" t="s">
        <v>12</v>
      </c>
      <c r="O236" s="160" t="s">
        <v>465</v>
      </c>
    </row>
    <row r="237" spans="1:15" s="233" customFormat="1" ht="36" x14ac:dyDescent="0.3">
      <c r="A237" s="208"/>
      <c r="B237" s="209" t="s">
        <v>27</v>
      </c>
      <c r="C237" s="209" t="s">
        <v>922</v>
      </c>
      <c r="D237" s="207" t="s">
        <v>1028</v>
      </c>
      <c r="E237" s="209" t="s">
        <v>4</v>
      </c>
      <c r="F237" s="210">
        <v>45551</v>
      </c>
      <c r="G237" s="209" t="s">
        <v>575</v>
      </c>
      <c r="H237" s="209">
        <v>0</v>
      </c>
      <c r="I237" s="209">
        <v>0</v>
      </c>
      <c r="J237" s="209">
        <v>33</v>
      </c>
      <c r="K237" s="209">
        <v>0</v>
      </c>
      <c r="L237" s="209">
        <v>33</v>
      </c>
      <c r="M237" s="209" t="s">
        <v>577</v>
      </c>
      <c r="N237" s="209" t="s">
        <v>12</v>
      </c>
      <c r="O237" s="209" t="s">
        <v>576</v>
      </c>
    </row>
    <row r="238" spans="1:15" s="278" customFormat="1" ht="84" x14ac:dyDescent="0.3">
      <c r="A238" s="208"/>
      <c r="B238" s="258" t="s">
        <v>27</v>
      </c>
      <c r="C238" s="258" t="s">
        <v>925</v>
      </c>
      <c r="D238" s="207" t="s">
        <v>1028</v>
      </c>
      <c r="E238" s="258" t="s">
        <v>4</v>
      </c>
      <c r="F238" s="210" t="s">
        <v>924</v>
      </c>
      <c r="G238" s="207" t="s">
        <v>5</v>
      </c>
      <c r="H238" s="258">
        <v>10</v>
      </c>
      <c r="I238" s="258">
        <v>276</v>
      </c>
      <c r="J238" s="258">
        <v>549</v>
      </c>
      <c r="K238" s="258">
        <v>0</v>
      </c>
      <c r="L238" s="258">
        <f>SUM(H238:K238)</f>
        <v>835</v>
      </c>
      <c r="M238" s="207" t="s">
        <v>6</v>
      </c>
      <c r="N238" s="258" t="s">
        <v>12</v>
      </c>
      <c r="O238" s="258" t="s">
        <v>926</v>
      </c>
    </row>
    <row r="239" spans="1:15" ht="112.5" customHeight="1" x14ac:dyDescent="0.3">
      <c r="A239" s="183"/>
      <c r="B239" s="45" t="s">
        <v>3</v>
      </c>
      <c r="C239" s="45" t="s">
        <v>467</v>
      </c>
      <c r="D239" s="45" t="s">
        <v>280</v>
      </c>
      <c r="E239" s="160" t="s">
        <v>4</v>
      </c>
      <c r="F239" s="184" t="s">
        <v>466</v>
      </c>
      <c r="G239" s="160" t="s">
        <v>318</v>
      </c>
      <c r="H239" s="160">
        <v>160</v>
      </c>
      <c r="I239" s="160">
        <v>0</v>
      </c>
      <c r="J239" s="160">
        <v>0</v>
      </c>
      <c r="K239" s="160">
        <v>0</v>
      </c>
      <c r="L239" s="160">
        <v>160</v>
      </c>
      <c r="M239" s="160" t="s">
        <v>6</v>
      </c>
      <c r="N239" s="160" t="s">
        <v>12</v>
      </c>
      <c r="O239" s="160"/>
    </row>
    <row r="240" spans="1:15" s="234" customFormat="1" ht="60" x14ac:dyDescent="0.3">
      <c r="A240" s="208"/>
      <c r="B240" s="209" t="s">
        <v>27</v>
      </c>
      <c r="C240" s="209" t="s">
        <v>921</v>
      </c>
      <c r="D240" s="207" t="s">
        <v>1028</v>
      </c>
      <c r="E240" s="209" t="s">
        <v>4</v>
      </c>
      <c r="F240" s="210">
        <v>45552</v>
      </c>
      <c r="G240" s="209" t="s">
        <v>578</v>
      </c>
      <c r="H240" s="209">
        <v>0</v>
      </c>
      <c r="I240" s="209">
        <v>0</v>
      </c>
      <c r="J240" s="209">
        <v>112</v>
      </c>
      <c r="K240" s="209">
        <v>0</v>
      </c>
      <c r="L240" s="209">
        <v>112</v>
      </c>
      <c r="M240" s="209" t="s">
        <v>577</v>
      </c>
      <c r="N240" s="209" t="s">
        <v>12</v>
      </c>
      <c r="O240" s="209" t="s">
        <v>579</v>
      </c>
    </row>
    <row r="241" spans="1:15" s="224" customFormat="1" ht="112.5" customHeight="1" x14ac:dyDescent="0.3">
      <c r="A241" s="208"/>
      <c r="B241" s="209" t="s">
        <v>27</v>
      </c>
      <c r="C241" s="209" t="s">
        <v>920</v>
      </c>
      <c r="D241" s="209" t="str">
        <f>$D$236</f>
        <v>Вузовский</v>
      </c>
      <c r="E241" s="209" t="s">
        <v>4</v>
      </c>
      <c r="F241" s="210">
        <v>45553</v>
      </c>
      <c r="G241" s="209" t="s">
        <v>281</v>
      </c>
      <c r="H241" s="209">
        <v>0</v>
      </c>
      <c r="I241" s="209">
        <v>0</v>
      </c>
      <c r="J241" s="209">
        <v>114</v>
      </c>
      <c r="K241" s="209">
        <v>0</v>
      </c>
      <c r="L241" s="209">
        <v>114</v>
      </c>
      <c r="M241" s="209" t="s">
        <v>555</v>
      </c>
      <c r="N241" s="209" t="s">
        <v>12</v>
      </c>
      <c r="O241" s="209" t="s">
        <v>554</v>
      </c>
    </row>
    <row r="242" spans="1:15" s="226" customFormat="1" ht="36" x14ac:dyDescent="0.3">
      <c r="A242" s="208"/>
      <c r="B242" s="209" t="s">
        <v>2</v>
      </c>
      <c r="C242" s="209" t="s">
        <v>607</v>
      </c>
      <c r="D242" s="209" t="str">
        <f>$D$236</f>
        <v>Вузовский</v>
      </c>
      <c r="E242" s="209" t="s">
        <v>16</v>
      </c>
      <c r="F242" s="210">
        <v>45553</v>
      </c>
      <c r="G242" s="209" t="s">
        <v>240</v>
      </c>
      <c r="H242" s="209">
        <v>0</v>
      </c>
      <c r="I242" s="209">
        <v>6</v>
      </c>
      <c r="J242" s="209">
        <v>14</v>
      </c>
      <c r="K242" s="209">
        <v>0</v>
      </c>
      <c r="L242" s="209">
        <v>20</v>
      </c>
      <c r="M242" s="209" t="s">
        <v>608</v>
      </c>
      <c r="N242" s="209" t="s">
        <v>12</v>
      </c>
      <c r="O242" s="209" t="s">
        <v>609</v>
      </c>
    </row>
    <row r="243" spans="1:15" s="226" customFormat="1" ht="36" x14ac:dyDescent="0.3">
      <c r="A243" s="208"/>
      <c r="B243" s="209" t="s">
        <v>2</v>
      </c>
      <c r="C243" s="209" t="s">
        <v>610</v>
      </c>
      <c r="D243" s="209" t="str">
        <f>$D$236</f>
        <v>Вузовский</v>
      </c>
      <c r="E243" s="209" t="s">
        <v>4</v>
      </c>
      <c r="F243" s="210">
        <v>45556</v>
      </c>
      <c r="G243" s="209" t="s">
        <v>453</v>
      </c>
      <c r="H243" s="209">
        <v>0</v>
      </c>
      <c r="I243" s="209">
        <v>2</v>
      </c>
      <c r="J243" s="209">
        <v>6</v>
      </c>
      <c r="K243" s="209">
        <v>0</v>
      </c>
      <c r="L243" s="209">
        <v>8</v>
      </c>
      <c r="M243" s="209" t="s">
        <v>608</v>
      </c>
      <c r="N243" s="209" t="s">
        <v>12</v>
      </c>
      <c r="O243" s="209" t="s">
        <v>611</v>
      </c>
    </row>
    <row r="244" spans="1:15" s="230" customFormat="1" ht="48" x14ac:dyDescent="0.3">
      <c r="A244" s="208"/>
      <c r="B244" s="209" t="s">
        <v>27</v>
      </c>
      <c r="C244" s="209" t="s">
        <v>566</v>
      </c>
      <c r="D244" s="209" t="str">
        <f>$D$236</f>
        <v>Вузовский</v>
      </c>
      <c r="E244" s="209" t="s">
        <v>4</v>
      </c>
      <c r="F244" s="210">
        <v>45557</v>
      </c>
      <c r="G244" s="209" t="s">
        <v>567</v>
      </c>
      <c r="H244" s="209">
        <v>0</v>
      </c>
      <c r="I244" s="209">
        <v>0</v>
      </c>
      <c r="J244" s="209">
        <v>150</v>
      </c>
      <c r="K244" s="209">
        <v>0</v>
      </c>
      <c r="L244" s="209">
        <v>150</v>
      </c>
      <c r="M244" s="209" t="s">
        <v>569</v>
      </c>
      <c r="N244" s="209" t="s">
        <v>12</v>
      </c>
      <c r="O244" s="209" t="s">
        <v>568</v>
      </c>
    </row>
    <row r="245" spans="1:15" ht="36" x14ac:dyDescent="0.3">
      <c r="A245" s="183"/>
      <c r="B245" s="160" t="s">
        <v>2</v>
      </c>
      <c r="C245" s="194" t="s">
        <v>468</v>
      </c>
      <c r="D245" s="160" t="s">
        <v>1028</v>
      </c>
      <c r="E245" s="160" t="s">
        <v>4</v>
      </c>
      <c r="F245" s="184">
        <v>45558</v>
      </c>
      <c r="G245" s="160" t="s">
        <v>5</v>
      </c>
      <c r="H245" s="160"/>
      <c r="I245" s="160"/>
      <c r="J245" s="160"/>
      <c r="K245" s="160"/>
      <c r="L245" s="160"/>
      <c r="M245" s="160" t="s">
        <v>482</v>
      </c>
      <c r="N245" s="160" t="s">
        <v>12</v>
      </c>
      <c r="O245" s="160"/>
    </row>
    <row r="246" spans="1:15" s="204" customFormat="1" ht="72" x14ac:dyDescent="0.3">
      <c r="A246" s="183"/>
      <c r="B246" s="201" t="s">
        <v>32</v>
      </c>
      <c r="C246" s="195" t="s">
        <v>510</v>
      </c>
      <c r="D246" s="201" t="s">
        <v>1028</v>
      </c>
      <c r="E246" s="201" t="s">
        <v>4</v>
      </c>
      <c r="F246" s="184">
        <v>45558</v>
      </c>
      <c r="G246" s="201" t="s">
        <v>512</v>
      </c>
      <c r="H246" s="201">
        <v>0</v>
      </c>
      <c r="I246" s="201">
        <v>0</v>
      </c>
      <c r="J246" s="201">
        <v>46</v>
      </c>
      <c r="K246" s="201">
        <v>3</v>
      </c>
      <c r="L246" s="201">
        <v>49</v>
      </c>
      <c r="M246" s="201" t="s">
        <v>513</v>
      </c>
      <c r="N246" s="201" t="s">
        <v>12</v>
      </c>
      <c r="O246" s="201" t="s">
        <v>514</v>
      </c>
    </row>
    <row r="247" spans="1:15" ht="60" x14ac:dyDescent="0.3">
      <c r="A247" s="183"/>
      <c r="B247" s="160" t="s">
        <v>2</v>
      </c>
      <c r="C247" s="207" t="s">
        <v>469</v>
      </c>
      <c r="D247" s="160" t="s">
        <v>1028</v>
      </c>
      <c r="E247" s="160" t="s">
        <v>4</v>
      </c>
      <c r="F247" s="184">
        <v>45559</v>
      </c>
      <c r="G247" s="160" t="s">
        <v>5</v>
      </c>
      <c r="H247" s="160">
        <v>0</v>
      </c>
      <c r="I247" s="160">
        <v>4</v>
      </c>
      <c r="J247" s="160">
        <v>14</v>
      </c>
      <c r="K247" s="160">
        <v>0</v>
      </c>
      <c r="L247" s="160">
        <f>SUM(H247:K247)</f>
        <v>18</v>
      </c>
      <c r="M247" s="160" t="s">
        <v>470</v>
      </c>
      <c r="N247" s="160" t="s">
        <v>12</v>
      </c>
      <c r="O247" s="160" t="s">
        <v>526</v>
      </c>
    </row>
    <row r="248" spans="1:15" s="185" customFormat="1" ht="48" x14ac:dyDescent="0.3">
      <c r="A248" s="279"/>
      <c r="B248" s="45" t="s">
        <v>2</v>
      </c>
      <c r="C248" s="45" t="s">
        <v>471</v>
      </c>
      <c r="D248" s="45" t="s">
        <v>1028</v>
      </c>
      <c r="E248" s="45" t="s">
        <v>4</v>
      </c>
      <c r="F248" s="280">
        <v>45559</v>
      </c>
      <c r="G248" s="45" t="s">
        <v>5</v>
      </c>
      <c r="H248" s="45">
        <v>9</v>
      </c>
      <c r="I248" s="45">
        <v>57</v>
      </c>
      <c r="J248" s="45">
        <v>119</v>
      </c>
      <c r="K248" s="45">
        <v>0</v>
      </c>
      <c r="L248" s="45">
        <f>SUM(H248:K248)</f>
        <v>185</v>
      </c>
      <c r="M248" s="45" t="s">
        <v>6</v>
      </c>
      <c r="N248" s="45" t="s">
        <v>12</v>
      </c>
      <c r="O248" s="45" t="s">
        <v>919</v>
      </c>
    </row>
    <row r="249" spans="1:15" s="205" customFormat="1" ht="72" x14ac:dyDescent="0.3">
      <c r="A249" s="183"/>
      <c r="B249" s="201" t="s">
        <v>32</v>
      </c>
      <c r="C249" s="195" t="s">
        <v>511</v>
      </c>
      <c r="D249" s="201" t="s">
        <v>1028</v>
      </c>
      <c r="E249" s="201" t="s">
        <v>4</v>
      </c>
      <c r="F249" s="184">
        <v>45559</v>
      </c>
      <c r="G249" s="201" t="s">
        <v>5</v>
      </c>
      <c r="H249" s="201">
        <v>2</v>
      </c>
      <c r="I249" s="201">
        <v>101</v>
      </c>
      <c r="J249" s="201">
        <v>0</v>
      </c>
      <c r="K249" s="201">
        <v>0</v>
      </c>
      <c r="L249" s="201">
        <v>101</v>
      </c>
      <c r="M249" s="201" t="s">
        <v>509</v>
      </c>
      <c r="N249" s="201" t="s">
        <v>12</v>
      </c>
      <c r="O249" s="201" t="s">
        <v>508</v>
      </c>
    </row>
    <row r="250" spans="1:15" ht="132" customHeight="1" x14ac:dyDescent="0.3">
      <c r="A250" s="183"/>
      <c r="B250" s="160" t="s">
        <v>2</v>
      </c>
      <c r="C250" s="207" t="s">
        <v>472</v>
      </c>
      <c r="D250" s="160" t="s">
        <v>1028</v>
      </c>
      <c r="E250" s="160" t="s">
        <v>4</v>
      </c>
      <c r="F250" s="184">
        <v>45560</v>
      </c>
      <c r="G250" s="160" t="s">
        <v>5</v>
      </c>
      <c r="H250" s="160">
        <v>4</v>
      </c>
      <c r="I250" s="160">
        <v>67</v>
      </c>
      <c r="J250" s="160">
        <v>129</v>
      </c>
      <c r="K250" s="160">
        <v>6</v>
      </c>
      <c r="L250" s="160">
        <f>SUM(H250:K250)</f>
        <v>206</v>
      </c>
      <c r="M250" s="160" t="s">
        <v>33</v>
      </c>
      <c r="N250" s="160" t="s">
        <v>12</v>
      </c>
      <c r="O250" s="160" t="s">
        <v>583</v>
      </c>
    </row>
    <row r="251" spans="1:15" s="226" customFormat="1" ht="48" x14ac:dyDescent="0.3">
      <c r="A251" s="208"/>
      <c r="B251" s="209" t="s">
        <v>2</v>
      </c>
      <c r="C251" s="209" t="s">
        <v>612</v>
      </c>
      <c r="D251" s="207" t="s">
        <v>1028</v>
      </c>
      <c r="E251" s="209" t="s">
        <v>16</v>
      </c>
      <c r="F251" s="210">
        <v>45560</v>
      </c>
      <c r="G251" s="209" t="s">
        <v>240</v>
      </c>
      <c r="H251" s="209">
        <v>0</v>
      </c>
      <c r="I251" s="209">
        <v>5</v>
      </c>
      <c r="J251" s="209">
        <v>10</v>
      </c>
      <c r="K251" s="209">
        <v>0</v>
      </c>
      <c r="L251" s="209">
        <v>15</v>
      </c>
      <c r="M251" s="209" t="s">
        <v>613</v>
      </c>
      <c r="N251" s="207" t="s">
        <v>12</v>
      </c>
      <c r="O251" s="209" t="s">
        <v>614</v>
      </c>
    </row>
    <row r="252" spans="1:15" ht="84" x14ac:dyDescent="0.3">
      <c r="A252" s="183"/>
      <c r="B252" s="160" t="s">
        <v>2</v>
      </c>
      <c r="C252" s="195" t="s">
        <v>473</v>
      </c>
      <c r="D252" s="160" t="s">
        <v>1028</v>
      </c>
      <c r="E252" s="160" t="s">
        <v>4</v>
      </c>
      <c r="F252" s="184">
        <v>45562</v>
      </c>
      <c r="G252" s="160" t="s">
        <v>5</v>
      </c>
      <c r="H252" s="160">
        <v>17</v>
      </c>
      <c r="I252" s="160">
        <v>173</v>
      </c>
      <c r="J252" s="160">
        <v>203</v>
      </c>
      <c r="K252" s="160">
        <v>35</v>
      </c>
      <c r="L252" s="160">
        <f>SUM(H252:K252)</f>
        <v>428</v>
      </c>
      <c r="M252" s="160" t="s">
        <v>6</v>
      </c>
      <c r="N252" s="160" t="s">
        <v>12</v>
      </c>
      <c r="O252" s="160" t="s">
        <v>474</v>
      </c>
    </row>
    <row r="253" spans="1:15" s="218" customFormat="1" ht="129" customHeight="1" x14ac:dyDescent="0.3">
      <c r="A253" s="208"/>
      <c r="B253" s="219" t="s">
        <v>175</v>
      </c>
      <c r="C253" s="219" t="s">
        <v>540</v>
      </c>
      <c r="D253" s="219" t="s">
        <v>1029</v>
      </c>
      <c r="E253" s="219" t="s">
        <v>4</v>
      </c>
      <c r="F253" s="220">
        <v>45563</v>
      </c>
      <c r="G253" s="219" t="s">
        <v>541</v>
      </c>
      <c r="H253" s="219">
        <v>1</v>
      </c>
      <c r="I253" s="219">
        <v>3</v>
      </c>
      <c r="J253" s="219">
        <v>14</v>
      </c>
      <c r="K253" s="219">
        <v>0</v>
      </c>
      <c r="L253" s="219">
        <v>17</v>
      </c>
      <c r="M253" s="219" t="s">
        <v>539</v>
      </c>
      <c r="N253" s="219" t="s">
        <v>12</v>
      </c>
      <c r="O253" s="217" t="s">
        <v>542</v>
      </c>
    </row>
    <row r="254" spans="1:15" s="206" customFormat="1" ht="72" x14ac:dyDescent="0.3">
      <c r="A254" s="183"/>
      <c r="B254" s="201" t="s">
        <v>32</v>
      </c>
      <c r="C254" s="195" t="s">
        <v>515</v>
      </c>
      <c r="D254" s="201" t="s">
        <v>1028</v>
      </c>
      <c r="E254" s="201" t="s">
        <v>4</v>
      </c>
      <c r="F254" s="184">
        <v>45565</v>
      </c>
      <c r="G254" s="201" t="s">
        <v>5</v>
      </c>
      <c r="H254" s="201">
        <v>0</v>
      </c>
      <c r="I254" s="201">
        <v>24</v>
      </c>
      <c r="J254" s="201">
        <v>71</v>
      </c>
      <c r="K254" s="201">
        <v>2</v>
      </c>
      <c r="L254" s="201">
        <v>97</v>
      </c>
      <c r="M254" s="201" t="s">
        <v>513</v>
      </c>
      <c r="N254" s="201" t="s">
        <v>12</v>
      </c>
      <c r="O254" s="201" t="s">
        <v>516</v>
      </c>
    </row>
    <row r="255" spans="1:15" s="229" customFormat="1" ht="60" x14ac:dyDescent="0.3">
      <c r="A255" s="208"/>
      <c r="B255" s="209" t="s">
        <v>27</v>
      </c>
      <c r="C255" s="214" t="s">
        <v>918</v>
      </c>
      <c r="D255" s="207" t="s">
        <v>1028</v>
      </c>
      <c r="E255" s="209" t="s">
        <v>4</v>
      </c>
      <c r="F255" s="210">
        <v>45565</v>
      </c>
      <c r="G255" s="209" t="s">
        <v>564</v>
      </c>
      <c r="H255" s="209">
        <v>0</v>
      </c>
      <c r="I255" s="209">
        <v>0</v>
      </c>
      <c r="J255" s="209">
        <v>51</v>
      </c>
      <c r="K255" s="209">
        <v>0</v>
      </c>
      <c r="L255" s="209">
        <v>51</v>
      </c>
      <c r="M255" s="209" t="s">
        <v>565</v>
      </c>
      <c r="N255" s="209" t="s">
        <v>12</v>
      </c>
      <c r="O255" s="209" t="s">
        <v>554</v>
      </c>
    </row>
    <row r="256" spans="1:15" s="235" customFormat="1" ht="60.6" thickBot="1" x14ac:dyDescent="0.35">
      <c r="A256" s="208"/>
      <c r="B256" s="270" t="s">
        <v>32</v>
      </c>
      <c r="C256" s="292" t="s">
        <v>580</v>
      </c>
      <c r="D256" s="270" t="s">
        <v>1028</v>
      </c>
      <c r="E256" s="270" t="s">
        <v>4</v>
      </c>
      <c r="F256" s="281">
        <v>45565</v>
      </c>
      <c r="G256" s="270" t="s">
        <v>581</v>
      </c>
      <c r="H256" s="270">
        <v>0</v>
      </c>
      <c r="I256" s="270">
        <v>25</v>
      </c>
      <c r="J256" s="270">
        <v>104</v>
      </c>
      <c r="K256" s="270">
        <v>1</v>
      </c>
      <c r="L256" s="270">
        <v>130</v>
      </c>
      <c r="M256" s="270" t="s">
        <v>577</v>
      </c>
      <c r="N256" s="270" t="s">
        <v>12</v>
      </c>
      <c r="O256" s="270" t="s">
        <v>582</v>
      </c>
    </row>
    <row r="257" spans="1:15" s="228" customFormat="1" ht="36" x14ac:dyDescent="0.3">
      <c r="A257" s="287"/>
      <c r="B257" s="305" t="s">
        <v>27</v>
      </c>
      <c r="C257" s="306" t="s">
        <v>551</v>
      </c>
      <c r="D257" s="305" t="s">
        <v>1028</v>
      </c>
      <c r="E257" s="305" t="s">
        <v>4</v>
      </c>
      <c r="F257" s="307">
        <v>45566</v>
      </c>
      <c r="G257" s="305" t="s">
        <v>562</v>
      </c>
      <c r="H257" s="305">
        <v>0</v>
      </c>
      <c r="I257" s="305">
        <v>190</v>
      </c>
      <c r="J257" s="305">
        <v>0</v>
      </c>
      <c r="K257" s="305">
        <v>0</v>
      </c>
      <c r="L257" s="305">
        <v>190</v>
      </c>
      <c r="M257" s="305" t="s">
        <v>563</v>
      </c>
      <c r="N257" s="305" t="s">
        <v>12</v>
      </c>
      <c r="O257" s="305" t="s">
        <v>554</v>
      </c>
    </row>
    <row r="258" spans="1:15" s="231" customFormat="1" ht="48" x14ac:dyDescent="0.3">
      <c r="A258" s="287"/>
      <c r="B258" s="258" t="s">
        <v>32</v>
      </c>
      <c r="C258" s="214" t="s">
        <v>570</v>
      </c>
      <c r="D258" s="258" t="s">
        <v>1028</v>
      </c>
      <c r="E258" s="258" t="s">
        <v>4</v>
      </c>
      <c r="F258" s="210">
        <v>45566</v>
      </c>
      <c r="G258" s="258" t="s">
        <v>571</v>
      </c>
      <c r="H258" s="258">
        <v>0</v>
      </c>
      <c r="I258" s="258">
        <v>0</v>
      </c>
      <c r="J258" s="258">
        <v>69</v>
      </c>
      <c r="K258" s="258">
        <v>0</v>
      </c>
      <c r="L258" s="258">
        <v>69</v>
      </c>
      <c r="M258" s="258" t="s">
        <v>569</v>
      </c>
      <c r="N258" s="258" t="s">
        <v>12</v>
      </c>
      <c r="O258" s="258" t="s">
        <v>572</v>
      </c>
    </row>
    <row r="259" spans="1:15" s="193" customFormat="1" ht="60" x14ac:dyDescent="0.3">
      <c r="A259" s="287"/>
      <c r="B259" s="258" t="s">
        <v>2</v>
      </c>
      <c r="C259" s="214" t="s">
        <v>480</v>
      </c>
      <c r="D259" s="258" t="s">
        <v>1028</v>
      </c>
      <c r="E259" s="258" t="s">
        <v>4</v>
      </c>
      <c r="F259" s="210">
        <v>45567</v>
      </c>
      <c r="G259" s="258" t="s">
        <v>5</v>
      </c>
      <c r="H259" s="258">
        <v>0</v>
      </c>
      <c r="I259" s="258">
        <v>3</v>
      </c>
      <c r="J259" s="258">
        <v>9</v>
      </c>
      <c r="K259" s="258">
        <v>0</v>
      </c>
      <c r="L259" s="258">
        <f>SUBTOTAL(9,H259:K259)</f>
        <v>12</v>
      </c>
      <c r="M259" s="258" t="s">
        <v>11</v>
      </c>
      <c r="N259" s="258" t="s">
        <v>12</v>
      </c>
      <c r="O259" s="258" t="s">
        <v>757</v>
      </c>
    </row>
    <row r="260" spans="1:15" s="226" customFormat="1" ht="36" x14ac:dyDescent="0.3">
      <c r="A260" s="287"/>
      <c r="B260" s="258" t="s">
        <v>2</v>
      </c>
      <c r="C260" s="214" t="s">
        <v>615</v>
      </c>
      <c r="D260" s="258" t="s">
        <v>1028</v>
      </c>
      <c r="E260" s="258" t="s">
        <v>16</v>
      </c>
      <c r="F260" s="210">
        <v>45567</v>
      </c>
      <c r="G260" s="258" t="s">
        <v>240</v>
      </c>
      <c r="H260" s="258">
        <v>0</v>
      </c>
      <c r="I260" s="258">
        <v>8</v>
      </c>
      <c r="J260" s="258">
        <v>11</v>
      </c>
      <c r="K260" s="258">
        <v>0</v>
      </c>
      <c r="L260" s="258">
        <v>19</v>
      </c>
      <c r="M260" s="258" t="s">
        <v>613</v>
      </c>
      <c r="N260" s="258" t="s">
        <v>12</v>
      </c>
      <c r="O260" s="258" t="s">
        <v>616</v>
      </c>
    </row>
    <row r="261" spans="1:15" s="226" customFormat="1" ht="36" x14ac:dyDescent="0.3">
      <c r="A261" s="287"/>
      <c r="B261" s="258" t="s">
        <v>2</v>
      </c>
      <c r="C261" s="214" t="s">
        <v>617</v>
      </c>
      <c r="D261" s="258" t="s">
        <v>1028</v>
      </c>
      <c r="E261" s="258" t="s">
        <v>16</v>
      </c>
      <c r="F261" s="210">
        <v>45567</v>
      </c>
      <c r="G261" s="258" t="s">
        <v>240</v>
      </c>
      <c r="H261" s="258">
        <v>0</v>
      </c>
      <c r="I261" s="258">
        <v>5</v>
      </c>
      <c r="J261" s="258">
        <v>11</v>
      </c>
      <c r="K261" s="258">
        <v>0</v>
      </c>
      <c r="L261" s="258">
        <v>16</v>
      </c>
      <c r="M261" s="258" t="s">
        <v>613</v>
      </c>
      <c r="N261" s="258" t="s">
        <v>12</v>
      </c>
      <c r="O261" s="258" t="s">
        <v>618</v>
      </c>
    </row>
    <row r="262" spans="1:15" s="193" customFormat="1" ht="84" x14ac:dyDescent="0.3">
      <c r="A262" s="287"/>
      <c r="B262" s="258" t="s">
        <v>2</v>
      </c>
      <c r="C262" s="214" t="s">
        <v>481</v>
      </c>
      <c r="D262" s="258" t="s">
        <v>1028</v>
      </c>
      <c r="E262" s="258" t="s">
        <v>4</v>
      </c>
      <c r="F262" s="210">
        <v>45568</v>
      </c>
      <c r="G262" s="258" t="s">
        <v>5</v>
      </c>
      <c r="H262" s="258">
        <v>0</v>
      </c>
      <c r="I262" s="258">
        <v>2</v>
      </c>
      <c r="J262" s="258">
        <v>10</v>
      </c>
      <c r="K262" s="258">
        <v>0</v>
      </c>
      <c r="L262" s="258">
        <f>SUBTOTAL(9,H262:K262)</f>
        <v>12</v>
      </c>
      <c r="M262" s="258" t="s">
        <v>11</v>
      </c>
      <c r="N262" s="258" t="s">
        <v>12</v>
      </c>
      <c r="O262" s="258" t="s">
        <v>758</v>
      </c>
    </row>
    <row r="263" spans="1:15" s="278" customFormat="1" ht="84" customHeight="1" x14ac:dyDescent="0.3">
      <c r="A263" s="287"/>
      <c r="B263" s="258" t="s">
        <v>331</v>
      </c>
      <c r="C263" s="214" t="s">
        <v>915</v>
      </c>
      <c r="D263" s="258" t="s">
        <v>1028</v>
      </c>
      <c r="E263" s="258" t="s">
        <v>4</v>
      </c>
      <c r="F263" s="210">
        <v>45568</v>
      </c>
      <c r="G263" s="258" t="s">
        <v>5</v>
      </c>
      <c r="H263" s="258">
        <v>2</v>
      </c>
      <c r="I263" s="258">
        <v>15</v>
      </c>
      <c r="J263" s="258">
        <v>46</v>
      </c>
      <c r="K263" s="258">
        <v>0</v>
      </c>
      <c r="L263" s="258">
        <f>SUM(H263:K263)</f>
        <v>63</v>
      </c>
      <c r="M263" s="258" t="s">
        <v>916</v>
      </c>
      <c r="N263" s="258" t="s">
        <v>12</v>
      </c>
      <c r="O263" s="258" t="s">
        <v>917</v>
      </c>
    </row>
    <row r="264" spans="1:15" s="257" customFormat="1" ht="84" x14ac:dyDescent="0.3">
      <c r="A264" s="287"/>
      <c r="B264" s="258" t="s">
        <v>175</v>
      </c>
      <c r="C264" s="214" t="s">
        <v>595</v>
      </c>
      <c r="D264" s="258" t="s">
        <v>1028</v>
      </c>
      <c r="E264" s="258" t="s">
        <v>4</v>
      </c>
      <c r="F264" s="210">
        <v>45569</v>
      </c>
      <c r="G264" s="258" t="s">
        <v>598</v>
      </c>
      <c r="H264" s="258">
        <v>0</v>
      </c>
      <c r="I264" s="258">
        <v>3</v>
      </c>
      <c r="J264" s="258">
        <v>14</v>
      </c>
      <c r="K264" s="258">
        <v>3</v>
      </c>
      <c r="L264" s="258">
        <f>SUBTOTAL(9,H264:K264)</f>
        <v>20</v>
      </c>
      <c r="M264" s="258" t="s">
        <v>7</v>
      </c>
      <c r="N264" s="258" t="s">
        <v>12</v>
      </c>
      <c r="O264" s="258" t="s">
        <v>803</v>
      </c>
    </row>
    <row r="265" spans="1:15" ht="60" x14ac:dyDescent="0.3">
      <c r="A265" s="287"/>
      <c r="B265" s="258" t="s">
        <v>8</v>
      </c>
      <c r="C265" s="214" t="s">
        <v>478</v>
      </c>
      <c r="D265" s="258" t="s">
        <v>1028</v>
      </c>
      <c r="E265" s="258" t="s">
        <v>4</v>
      </c>
      <c r="F265" s="210">
        <v>45569</v>
      </c>
      <c r="G265" s="258" t="s">
        <v>5</v>
      </c>
      <c r="H265" s="258">
        <v>7</v>
      </c>
      <c r="I265" s="258">
        <v>45</v>
      </c>
      <c r="J265" s="258">
        <v>135</v>
      </c>
      <c r="K265" s="258">
        <v>0</v>
      </c>
      <c r="L265" s="258">
        <f>SUM(H265:K265)</f>
        <v>187</v>
      </c>
      <c r="M265" s="258" t="s">
        <v>806</v>
      </c>
      <c r="N265" s="258" t="s">
        <v>12</v>
      </c>
      <c r="O265" s="258" t="s">
        <v>475</v>
      </c>
    </row>
    <row r="266" spans="1:15" s="232" customFormat="1" ht="60" x14ac:dyDescent="0.3">
      <c r="A266" s="287"/>
      <c r="B266" s="258" t="s">
        <v>32</v>
      </c>
      <c r="C266" s="214" t="s">
        <v>574</v>
      </c>
      <c r="D266" s="258" t="s">
        <v>1028</v>
      </c>
      <c r="E266" s="258" t="s">
        <v>4</v>
      </c>
      <c r="F266" s="210">
        <v>45569</v>
      </c>
      <c r="G266" s="258" t="s">
        <v>453</v>
      </c>
      <c r="H266" s="258">
        <v>0</v>
      </c>
      <c r="I266" s="258">
        <v>0</v>
      </c>
      <c r="J266" s="258">
        <v>41</v>
      </c>
      <c r="K266" s="258">
        <v>0</v>
      </c>
      <c r="L266" s="258">
        <v>41</v>
      </c>
      <c r="M266" s="258" t="s">
        <v>569</v>
      </c>
      <c r="N266" s="258" t="s">
        <v>12</v>
      </c>
      <c r="O266" s="258" t="s">
        <v>573</v>
      </c>
    </row>
    <row r="267" spans="1:15" s="227" customFormat="1" ht="36" x14ac:dyDescent="0.3">
      <c r="A267" s="287"/>
      <c r="B267" s="258" t="s">
        <v>32</v>
      </c>
      <c r="C267" s="214" t="s">
        <v>561</v>
      </c>
      <c r="D267" s="258" t="s">
        <v>1028</v>
      </c>
      <c r="E267" s="258" t="s">
        <v>4</v>
      </c>
      <c r="F267" s="210">
        <v>45569</v>
      </c>
      <c r="G267" s="258" t="s">
        <v>559</v>
      </c>
      <c r="H267" s="258">
        <v>0</v>
      </c>
      <c r="I267" s="258">
        <v>2</v>
      </c>
      <c r="J267" s="258">
        <v>23</v>
      </c>
      <c r="K267" s="258">
        <v>0</v>
      </c>
      <c r="L267" s="258">
        <v>25</v>
      </c>
      <c r="M267" s="258" t="s">
        <v>558</v>
      </c>
      <c r="N267" s="258" t="s">
        <v>12</v>
      </c>
      <c r="O267" s="258" t="s">
        <v>560</v>
      </c>
    </row>
    <row r="268" spans="1:15" s="226" customFormat="1" ht="36" x14ac:dyDescent="0.3">
      <c r="A268" s="337"/>
      <c r="B268" s="258" t="s">
        <v>32</v>
      </c>
      <c r="C268" s="214" t="s">
        <v>595</v>
      </c>
      <c r="D268" s="258" t="s">
        <v>1028</v>
      </c>
      <c r="E268" s="258" t="s">
        <v>4</v>
      </c>
      <c r="F268" s="210">
        <v>45569</v>
      </c>
      <c r="G268" s="258" t="s">
        <v>598</v>
      </c>
      <c r="H268" s="258">
        <v>0</v>
      </c>
      <c r="I268" s="258">
        <v>3</v>
      </c>
      <c r="J268" s="258">
        <v>16</v>
      </c>
      <c r="K268" s="258">
        <v>3</v>
      </c>
      <c r="L268" s="258">
        <f>SUBTOTAL(9,H268:K268)</f>
        <v>22</v>
      </c>
      <c r="M268" s="258" t="s">
        <v>7</v>
      </c>
      <c r="N268" s="258" t="s">
        <v>12</v>
      </c>
      <c r="O268" s="258" t="s">
        <v>599</v>
      </c>
    </row>
    <row r="269" spans="1:15" ht="72" x14ac:dyDescent="0.3">
      <c r="A269" s="337"/>
      <c r="B269" s="258" t="s">
        <v>8</v>
      </c>
      <c r="C269" s="258" t="s">
        <v>476</v>
      </c>
      <c r="D269" s="258" t="s">
        <v>1028</v>
      </c>
      <c r="E269" s="258" t="s">
        <v>4</v>
      </c>
      <c r="F269" s="210">
        <v>45572</v>
      </c>
      <c r="G269" s="258" t="s">
        <v>5</v>
      </c>
      <c r="H269" s="258">
        <v>27</v>
      </c>
      <c r="I269" s="258">
        <v>94</v>
      </c>
      <c r="J269" s="258">
        <v>159</v>
      </c>
      <c r="K269" s="258">
        <v>30</v>
      </c>
      <c r="L269" s="258">
        <f>SUBTOTAL(9,H269:K269)</f>
        <v>310</v>
      </c>
      <c r="M269" s="258" t="s">
        <v>6</v>
      </c>
      <c r="N269" s="258" t="s">
        <v>12</v>
      </c>
      <c r="O269" s="258" t="s">
        <v>477</v>
      </c>
    </row>
    <row r="270" spans="1:15" s="200" customFormat="1" ht="100.5" customHeight="1" x14ac:dyDescent="0.3">
      <c r="A270" s="287"/>
      <c r="B270" s="258" t="s">
        <v>3</v>
      </c>
      <c r="C270" s="258" t="s">
        <v>493</v>
      </c>
      <c r="D270" s="258" t="s">
        <v>1028</v>
      </c>
      <c r="E270" s="258" t="s">
        <v>4</v>
      </c>
      <c r="F270" s="210">
        <v>45572</v>
      </c>
      <c r="G270" s="258" t="s">
        <v>225</v>
      </c>
      <c r="H270" s="258">
        <v>0</v>
      </c>
      <c r="I270" s="258">
        <v>50</v>
      </c>
      <c r="J270" s="258">
        <v>105</v>
      </c>
      <c r="K270" s="258">
        <v>12</v>
      </c>
      <c r="L270" s="258">
        <v>157</v>
      </c>
      <c r="M270" s="258" t="s">
        <v>134</v>
      </c>
      <c r="N270" s="258" t="s">
        <v>12</v>
      </c>
      <c r="O270" s="258" t="s">
        <v>495</v>
      </c>
    </row>
    <row r="271" spans="1:15" s="286" customFormat="1" ht="130.5" customHeight="1" x14ac:dyDescent="0.3">
      <c r="A271" s="288"/>
      <c r="B271" s="258" t="s">
        <v>3</v>
      </c>
      <c r="C271" s="258" t="s">
        <v>492</v>
      </c>
      <c r="D271" s="258" t="s">
        <v>1028</v>
      </c>
      <c r="E271" s="258" t="s">
        <v>4</v>
      </c>
      <c r="F271" s="210">
        <v>45572</v>
      </c>
      <c r="G271" s="258" t="s">
        <v>225</v>
      </c>
      <c r="H271" s="258">
        <v>0</v>
      </c>
      <c r="I271" s="258">
        <v>50</v>
      </c>
      <c r="J271" s="258">
        <v>105</v>
      </c>
      <c r="K271" s="258">
        <v>12</v>
      </c>
      <c r="L271" s="258">
        <v>157</v>
      </c>
      <c r="M271" s="258" t="s">
        <v>134</v>
      </c>
      <c r="N271" s="258" t="s">
        <v>12</v>
      </c>
      <c r="O271" s="258" t="s">
        <v>494</v>
      </c>
    </row>
    <row r="272" spans="1:15" s="222" customFormat="1" ht="48" x14ac:dyDescent="0.3">
      <c r="A272" s="287"/>
      <c r="B272" s="258" t="s">
        <v>32</v>
      </c>
      <c r="C272" s="258" t="s">
        <v>548</v>
      </c>
      <c r="D272" s="258" t="s">
        <v>1028</v>
      </c>
      <c r="E272" s="258" t="s">
        <v>4</v>
      </c>
      <c r="F272" s="210">
        <v>45572</v>
      </c>
      <c r="G272" s="258" t="s">
        <v>549</v>
      </c>
      <c r="H272" s="258">
        <v>0</v>
      </c>
      <c r="I272" s="258">
        <v>12</v>
      </c>
      <c r="J272" s="258">
        <v>33</v>
      </c>
      <c r="K272" s="258">
        <v>0</v>
      </c>
      <c r="L272" s="258">
        <v>45</v>
      </c>
      <c r="M272" s="258" t="s">
        <v>513</v>
      </c>
      <c r="N272" s="258" t="s">
        <v>12</v>
      </c>
      <c r="O272" s="258" t="s">
        <v>550</v>
      </c>
    </row>
    <row r="273" spans="1:15" s="223" customFormat="1" ht="72" x14ac:dyDescent="0.3">
      <c r="A273" s="287"/>
      <c r="B273" s="258" t="s">
        <v>27</v>
      </c>
      <c r="C273" s="258" t="s">
        <v>963</v>
      </c>
      <c r="D273" s="258" t="s">
        <v>1028</v>
      </c>
      <c r="E273" s="258" t="s">
        <v>4</v>
      </c>
      <c r="F273" s="210">
        <v>45572</v>
      </c>
      <c r="G273" s="258" t="s">
        <v>553</v>
      </c>
      <c r="H273" s="258">
        <v>0</v>
      </c>
      <c r="I273" s="258">
        <v>0</v>
      </c>
      <c r="J273" s="258">
        <v>75</v>
      </c>
      <c r="K273" s="258">
        <v>3</v>
      </c>
      <c r="L273" s="258">
        <v>78</v>
      </c>
      <c r="M273" s="258" t="s">
        <v>513</v>
      </c>
      <c r="N273" s="258" t="s">
        <v>12</v>
      </c>
      <c r="O273" s="258" t="s">
        <v>552</v>
      </c>
    </row>
    <row r="274" spans="1:15" s="226" customFormat="1" ht="60.6" thickBot="1" x14ac:dyDescent="0.35">
      <c r="A274" s="287"/>
      <c r="B274" s="308" t="s">
        <v>2</v>
      </c>
      <c r="C274" s="308" t="s">
        <v>604</v>
      </c>
      <c r="D274" s="308" t="s">
        <v>1028</v>
      </c>
      <c r="E274" s="308" t="s">
        <v>4</v>
      </c>
      <c r="F274" s="309">
        <v>45572</v>
      </c>
      <c r="G274" s="308" t="s">
        <v>5</v>
      </c>
      <c r="H274" s="308">
        <v>0</v>
      </c>
      <c r="I274" s="308">
        <v>1</v>
      </c>
      <c r="J274" s="308">
        <v>8</v>
      </c>
      <c r="K274" s="308">
        <v>0</v>
      </c>
      <c r="L274" s="308">
        <f>SUBTOTAL(9,H274:K274)</f>
        <v>9</v>
      </c>
      <c r="M274" s="308" t="s">
        <v>11</v>
      </c>
      <c r="N274" s="308" t="s">
        <v>12</v>
      </c>
      <c r="O274" s="308" t="s">
        <v>759</v>
      </c>
    </row>
    <row r="275" spans="1:15" s="226" customFormat="1" ht="36.6" thickBot="1" x14ac:dyDescent="0.35">
      <c r="A275" s="208"/>
      <c r="B275" s="282" t="s">
        <v>60</v>
      </c>
      <c r="C275" s="282" t="s">
        <v>621</v>
      </c>
      <c r="D275" s="282" t="s">
        <v>13</v>
      </c>
      <c r="E275" s="282" t="s">
        <v>4</v>
      </c>
      <c r="F275" s="293">
        <v>45572</v>
      </c>
      <c r="G275" s="282" t="s">
        <v>622</v>
      </c>
      <c r="H275" s="282">
        <v>0</v>
      </c>
      <c r="I275" s="282">
        <v>0</v>
      </c>
      <c r="J275" s="282">
        <v>6</v>
      </c>
      <c r="K275" s="282">
        <v>0</v>
      </c>
      <c r="L275" s="282">
        <v>6</v>
      </c>
      <c r="M275" s="282" t="s">
        <v>623</v>
      </c>
      <c r="N275" s="282" t="s">
        <v>34</v>
      </c>
      <c r="O275" s="282" t="s">
        <v>699</v>
      </c>
    </row>
    <row r="276" spans="1:15" s="200" customFormat="1" ht="72" x14ac:dyDescent="0.3">
      <c r="A276" s="287"/>
      <c r="B276" s="305" t="s">
        <v>3</v>
      </c>
      <c r="C276" s="305" t="s">
        <v>497</v>
      </c>
      <c r="D276" s="305" t="s">
        <v>1028</v>
      </c>
      <c r="E276" s="305" t="s">
        <v>4</v>
      </c>
      <c r="F276" s="307" t="s">
        <v>1034</v>
      </c>
      <c r="G276" s="305" t="s">
        <v>225</v>
      </c>
      <c r="H276" s="305">
        <v>0</v>
      </c>
      <c r="I276" s="305">
        <v>29</v>
      </c>
      <c r="J276" s="305">
        <v>34</v>
      </c>
      <c r="K276" s="305">
        <v>0</v>
      </c>
      <c r="L276" s="305">
        <v>63</v>
      </c>
      <c r="M276" s="305" t="s">
        <v>134</v>
      </c>
      <c r="N276" s="305" t="s">
        <v>12</v>
      </c>
      <c r="O276" s="305" t="s">
        <v>496</v>
      </c>
    </row>
    <row r="277" spans="1:15" s="226" customFormat="1" ht="84" x14ac:dyDescent="0.3">
      <c r="A277" s="287"/>
      <c r="B277" s="258" t="s">
        <v>2</v>
      </c>
      <c r="C277" s="258" t="s">
        <v>605</v>
      </c>
      <c r="D277" s="258" t="s">
        <v>1028</v>
      </c>
      <c r="E277" s="258" t="s">
        <v>4</v>
      </c>
      <c r="F277" s="210">
        <v>45573</v>
      </c>
      <c r="G277" s="258" t="s">
        <v>5</v>
      </c>
      <c r="H277" s="258">
        <v>1</v>
      </c>
      <c r="I277" s="258">
        <v>1</v>
      </c>
      <c r="J277" s="258">
        <v>15</v>
      </c>
      <c r="K277" s="258">
        <v>0</v>
      </c>
      <c r="L277" s="258">
        <f>SUBTOTAL(9,H277:K277)</f>
        <v>17</v>
      </c>
      <c r="M277" s="258" t="s">
        <v>11</v>
      </c>
      <c r="N277" s="258" t="s">
        <v>12</v>
      </c>
      <c r="O277" s="258" t="s">
        <v>760</v>
      </c>
    </row>
    <row r="278" spans="1:15" s="205" customFormat="1" ht="48" x14ac:dyDescent="0.3">
      <c r="A278" s="287"/>
      <c r="B278" s="258" t="s">
        <v>1026</v>
      </c>
      <c r="C278" s="258" t="s">
        <v>500</v>
      </c>
      <c r="D278" s="258" t="s">
        <v>84</v>
      </c>
      <c r="E278" s="258" t="s">
        <v>4</v>
      </c>
      <c r="F278" s="210">
        <v>45573</v>
      </c>
      <c r="G278" s="258" t="s">
        <v>501</v>
      </c>
      <c r="H278" s="258">
        <v>42</v>
      </c>
      <c r="I278" s="258">
        <v>0</v>
      </c>
      <c r="J278" s="258">
        <v>0</v>
      </c>
      <c r="K278" s="258">
        <v>0</v>
      </c>
      <c r="L278" s="258">
        <f>SUM(H278:K278)</f>
        <v>42</v>
      </c>
      <c r="M278" s="258" t="s">
        <v>502</v>
      </c>
      <c r="N278" s="258" t="s">
        <v>12</v>
      </c>
      <c r="O278" s="258" t="s">
        <v>503</v>
      </c>
    </row>
    <row r="279" spans="1:15" s="205" customFormat="1" ht="310.5" customHeight="1" x14ac:dyDescent="0.3">
      <c r="A279" s="287"/>
      <c r="B279" s="258" t="s">
        <v>2</v>
      </c>
      <c r="C279" s="214" t="s">
        <v>517</v>
      </c>
      <c r="D279" s="258" t="s">
        <v>1028</v>
      </c>
      <c r="E279" s="258" t="s">
        <v>4</v>
      </c>
      <c r="F279" s="210">
        <v>45574</v>
      </c>
      <c r="G279" s="258" t="s">
        <v>5</v>
      </c>
      <c r="H279" s="258">
        <v>150</v>
      </c>
      <c r="I279" s="258">
        <v>450</v>
      </c>
      <c r="J279" s="258">
        <v>324</v>
      </c>
      <c r="K279" s="258">
        <v>0</v>
      </c>
      <c r="L279" s="258">
        <f>SUM(H279:K279)</f>
        <v>924</v>
      </c>
      <c r="M279" s="258" t="s">
        <v>486</v>
      </c>
      <c r="N279" s="258" t="s">
        <v>12</v>
      </c>
      <c r="O279" s="258" t="s">
        <v>518</v>
      </c>
    </row>
    <row r="280" spans="1:15" s="203" customFormat="1" ht="48" x14ac:dyDescent="0.3">
      <c r="A280" s="287"/>
      <c r="B280" s="258" t="s">
        <v>3</v>
      </c>
      <c r="C280" s="258" t="s">
        <v>498</v>
      </c>
      <c r="D280" s="258" t="s">
        <v>1028</v>
      </c>
      <c r="E280" s="258" t="s">
        <v>4</v>
      </c>
      <c r="F280" s="210" t="s">
        <v>1035</v>
      </c>
      <c r="G280" s="258" t="s">
        <v>225</v>
      </c>
      <c r="H280" s="258">
        <v>0</v>
      </c>
      <c r="I280" s="258">
        <v>20</v>
      </c>
      <c r="J280" s="258">
        <v>86</v>
      </c>
      <c r="K280" s="258">
        <v>0</v>
      </c>
      <c r="L280" s="258">
        <f>SUM(H280:K280)</f>
        <v>106</v>
      </c>
      <c r="M280" s="258" t="s">
        <v>134</v>
      </c>
      <c r="N280" s="258" t="s">
        <v>12</v>
      </c>
      <c r="O280" s="258" t="s">
        <v>499</v>
      </c>
    </row>
    <row r="281" spans="1:15" s="341" customFormat="1" ht="72" x14ac:dyDescent="0.3">
      <c r="A281" s="342"/>
      <c r="B281" s="340" t="s">
        <v>32</v>
      </c>
      <c r="C281" s="340" t="s">
        <v>489</v>
      </c>
      <c r="D281" s="340" t="s">
        <v>1029</v>
      </c>
      <c r="E281" s="340" t="s">
        <v>4</v>
      </c>
      <c r="F281" s="339">
        <v>45575</v>
      </c>
      <c r="G281" s="340" t="s">
        <v>490</v>
      </c>
      <c r="H281" s="340">
        <v>0</v>
      </c>
      <c r="I281" s="340">
        <v>31</v>
      </c>
      <c r="J281" s="340">
        <v>119</v>
      </c>
      <c r="K281" s="340">
        <v>0</v>
      </c>
      <c r="L281" s="340">
        <v>150</v>
      </c>
      <c r="M281" s="340" t="s">
        <v>146</v>
      </c>
      <c r="N281" s="340" t="s">
        <v>12</v>
      </c>
      <c r="O281" s="340" t="s">
        <v>491</v>
      </c>
    </row>
    <row r="282" spans="1:15" ht="48" x14ac:dyDescent="0.3">
      <c r="A282" s="287"/>
      <c r="B282" s="258" t="s">
        <v>371</v>
      </c>
      <c r="C282" s="258" t="s">
        <v>507</v>
      </c>
      <c r="D282" s="258" t="s">
        <v>1029</v>
      </c>
      <c r="E282" s="258" t="s">
        <v>4</v>
      </c>
      <c r="F282" s="210">
        <v>45575</v>
      </c>
      <c r="G282" s="258" t="s">
        <v>408</v>
      </c>
      <c r="H282" s="258">
        <v>7</v>
      </c>
      <c r="I282" s="258">
        <v>0</v>
      </c>
      <c r="J282" s="258">
        <v>35</v>
      </c>
      <c r="K282" s="258">
        <v>0</v>
      </c>
      <c r="L282" s="258">
        <f>SUM(H282:K282)</f>
        <v>42</v>
      </c>
      <c r="M282" s="258" t="s">
        <v>10</v>
      </c>
      <c r="N282" s="258" t="s">
        <v>12</v>
      </c>
      <c r="O282" s="258" t="s">
        <v>504</v>
      </c>
    </row>
    <row r="283" spans="1:15" ht="84" x14ac:dyDescent="0.3">
      <c r="A283" s="287"/>
      <c r="B283" s="258" t="s">
        <v>32</v>
      </c>
      <c r="C283" s="214" t="s">
        <v>505</v>
      </c>
      <c r="D283" s="258" t="s">
        <v>84</v>
      </c>
      <c r="E283" s="258" t="s">
        <v>4</v>
      </c>
      <c r="F283" s="210">
        <v>45575</v>
      </c>
      <c r="G283" s="258" t="s">
        <v>628</v>
      </c>
      <c r="H283" s="258">
        <v>83</v>
      </c>
      <c r="I283" s="258">
        <v>1</v>
      </c>
      <c r="J283" s="258">
        <v>21</v>
      </c>
      <c r="K283" s="258">
        <v>1</v>
      </c>
      <c r="L283" s="258">
        <f>SUM(H283:K283)</f>
        <v>106</v>
      </c>
      <c r="M283" s="258" t="s">
        <v>506</v>
      </c>
      <c r="N283" s="258" t="s">
        <v>12</v>
      </c>
      <c r="O283" s="258" t="s">
        <v>629</v>
      </c>
    </row>
    <row r="284" spans="1:15" s="278" customFormat="1" ht="261" customHeight="1" x14ac:dyDescent="0.3">
      <c r="A284" s="287"/>
      <c r="B284" s="258" t="s">
        <v>175</v>
      </c>
      <c r="C284" s="214" t="s">
        <v>951</v>
      </c>
      <c r="D284" s="258" t="s">
        <v>280</v>
      </c>
      <c r="E284" s="258" t="s">
        <v>4</v>
      </c>
      <c r="F284" s="210" t="s">
        <v>949</v>
      </c>
      <c r="G284" s="258" t="s">
        <v>950</v>
      </c>
      <c r="H284" s="258">
        <v>178</v>
      </c>
      <c r="I284" s="258">
        <v>0</v>
      </c>
      <c r="J284" s="258">
        <v>3</v>
      </c>
      <c r="K284" s="258">
        <v>0</v>
      </c>
      <c r="L284" s="258">
        <f>SUM(H284:K284)</f>
        <v>181</v>
      </c>
      <c r="M284" s="258" t="s">
        <v>6</v>
      </c>
      <c r="N284" s="258" t="s">
        <v>12</v>
      </c>
      <c r="O284" s="258" t="s">
        <v>952</v>
      </c>
    </row>
    <row r="285" spans="1:15" s="206" customFormat="1" ht="204.6" thickBot="1" x14ac:dyDescent="0.35">
      <c r="A285" s="287"/>
      <c r="B285" s="308" t="s">
        <v>32</v>
      </c>
      <c r="C285" s="310" t="s">
        <v>522</v>
      </c>
      <c r="D285" s="308" t="s">
        <v>1029</v>
      </c>
      <c r="E285" s="308" t="s">
        <v>4</v>
      </c>
      <c r="F285" s="309">
        <v>45576</v>
      </c>
      <c r="G285" s="308" t="s">
        <v>523</v>
      </c>
      <c r="H285" s="308">
        <v>26</v>
      </c>
      <c r="I285" s="308">
        <v>315</v>
      </c>
      <c r="J285" s="308">
        <v>503</v>
      </c>
      <c r="K285" s="308">
        <v>156</v>
      </c>
      <c r="L285" s="308">
        <v>1000</v>
      </c>
      <c r="M285" s="308" t="s">
        <v>524</v>
      </c>
      <c r="N285" s="308" t="s">
        <v>12</v>
      </c>
      <c r="O285" s="308" t="s">
        <v>525</v>
      </c>
    </row>
    <row r="286" spans="1:15" s="237" customFormat="1" ht="48.6" thickBot="1" x14ac:dyDescent="0.35">
      <c r="A286" s="208"/>
      <c r="B286" s="282" t="s">
        <v>624</v>
      </c>
      <c r="C286" s="294" t="s">
        <v>522</v>
      </c>
      <c r="D286" s="282" t="s">
        <v>1028</v>
      </c>
      <c r="E286" s="282" t="s">
        <v>15</v>
      </c>
      <c r="F286" s="293">
        <v>45576</v>
      </c>
      <c r="G286" s="282" t="s">
        <v>523</v>
      </c>
      <c r="H286" s="282">
        <v>0</v>
      </c>
      <c r="I286" s="282">
        <v>0</v>
      </c>
      <c r="J286" s="282">
        <v>6</v>
      </c>
      <c r="K286" s="282">
        <v>0</v>
      </c>
      <c r="L286" s="282">
        <v>6</v>
      </c>
      <c r="M286" s="282" t="s">
        <v>623</v>
      </c>
      <c r="N286" s="282" t="s">
        <v>34</v>
      </c>
      <c r="O286" s="282" t="s">
        <v>700</v>
      </c>
    </row>
    <row r="287" spans="1:15" s="238" customFormat="1" ht="48.6" thickBot="1" x14ac:dyDescent="0.35">
      <c r="A287" s="287"/>
      <c r="B287" s="311" t="s">
        <v>968</v>
      </c>
      <c r="C287" s="312" t="s">
        <v>955</v>
      </c>
      <c r="D287" s="311" t="s">
        <v>1028</v>
      </c>
      <c r="E287" s="311" t="s">
        <v>15</v>
      </c>
      <c r="F287" s="313">
        <v>45578</v>
      </c>
      <c r="G287" s="311" t="s">
        <v>625</v>
      </c>
      <c r="H287" s="311">
        <v>1</v>
      </c>
      <c r="I287" s="311">
        <v>0</v>
      </c>
      <c r="J287" s="311">
        <v>20</v>
      </c>
      <c r="K287" s="311">
        <v>4</v>
      </c>
      <c r="L287" s="311">
        <f>SUM(H287:K287)</f>
        <v>25</v>
      </c>
      <c r="M287" s="311" t="s">
        <v>626</v>
      </c>
      <c r="N287" s="311" t="s">
        <v>12</v>
      </c>
      <c r="O287" s="311" t="s">
        <v>958</v>
      </c>
    </row>
    <row r="288" spans="1:15" s="239" customFormat="1" ht="48" x14ac:dyDescent="0.3">
      <c r="A288" s="208"/>
      <c r="B288" s="273" t="s">
        <v>8</v>
      </c>
      <c r="C288" s="295" t="s">
        <v>647</v>
      </c>
      <c r="D288" s="273" t="s">
        <v>84</v>
      </c>
      <c r="E288" s="273" t="s">
        <v>4</v>
      </c>
      <c r="F288" s="296">
        <v>45578</v>
      </c>
      <c r="G288" s="273" t="s">
        <v>648</v>
      </c>
      <c r="H288" s="273">
        <v>0</v>
      </c>
      <c r="I288" s="273">
        <v>3</v>
      </c>
      <c r="J288" s="273">
        <v>7</v>
      </c>
      <c r="K288" s="273">
        <v>0</v>
      </c>
      <c r="L288" s="273">
        <v>10</v>
      </c>
      <c r="M288" s="273" t="s">
        <v>10</v>
      </c>
      <c r="N288" s="273" t="s">
        <v>649</v>
      </c>
      <c r="O288" s="273" t="s">
        <v>650</v>
      </c>
    </row>
    <row r="289" spans="1:15" s="244" customFormat="1" ht="60.6" thickBot="1" x14ac:dyDescent="0.35">
      <c r="A289" s="208"/>
      <c r="B289" s="270" t="s">
        <v>60</v>
      </c>
      <c r="C289" s="292" t="s">
        <v>651</v>
      </c>
      <c r="D289" s="270" t="s">
        <v>1028</v>
      </c>
      <c r="E289" s="270" t="s">
        <v>4</v>
      </c>
      <c r="F289" s="281">
        <v>45579</v>
      </c>
      <c r="G289" s="270" t="s">
        <v>5</v>
      </c>
      <c r="H289" s="270">
        <v>0</v>
      </c>
      <c r="I289" s="270">
        <v>0</v>
      </c>
      <c r="J289" s="270">
        <v>2</v>
      </c>
      <c r="K289" s="270">
        <v>0</v>
      </c>
      <c r="L289" s="270">
        <v>2</v>
      </c>
      <c r="M289" s="270" t="s">
        <v>10</v>
      </c>
      <c r="N289" s="270" t="s">
        <v>649</v>
      </c>
      <c r="O289" s="270" t="s">
        <v>653</v>
      </c>
    </row>
    <row r="290" spans="1:15" s="236" customFormat="1" ht="96.6" thickBot="1" x14ac:dyDescent="0.35">
      <c r="A290" s="287"/>
      <c r="B290" s="311" t="s">
        <v>60</v>
      </c>
      <c r="C290" s="312" t="s">
        <v>586</v>
      </c>
      <c r="D290" s="311" t="s">
        <v>1028</v>
      </c>
      <c r="E290" s="311" t="s">
        <v>4</v>
      </c>
      <c r="F290" s="313">
        <v>45579</v>
      </c>
      <c r="G290" s="311" t="s">
        <v>5</v>
      </c>
      <c r="H290" s="311">
        <v>5</v>
      </c>
      <c r="I290" s="311">
        <v>42</v>
      </c>
      <c r="J290" s="311">
        <v>124</v>
      </c>
      <c r="K290" s="311">
        <v>13</v>
      </c>
      <c r="L290" s="311">
        <v>184</v>
      </c>
      <c r="M290" s="311" t="s">
        <v>584</v>
      </c>
      <c r="N290" s="311" t="s">
        <v>12</v>
      </c>
      <c r="O290" s="311" t="s">
        <v>585</v>
      </c>
    </row>
    <row r="291" spans="1:15" s="238" customFormat="1" ht="48.6" thickBot="1" x14ac:dyDescent="0.35">
      <c r="A291" s="208"/>
      <c r="B291" s="282" t="s">
        <v>352</v>
      </c>
      <c r="C291" s="294" t="s">
        <v>586</v>
      </c>
      <c r="D291" s="282" t="s">
        <v>1028</v>
      </c>
      <c r="E291" s="282" t="s">
        <v>4</v>
      </c>
      <c r="F291" s="293">
        <v>45579</v>
      </c>
      <c r="G291" s="282" t="s">
        <v>5</v>
      </c>
      <c r="H291" s="282">
        <v>0</v>
      </c>
      <c r="I291" s="282">
        <v>0</v>
      </c>
      <c r="J291" s="282">
        <v>5</v>
      </c>
      <c r="K291" s="282">
        <v>0</v>
      </c>
      <c r="L291" s="282">
        <f>SUM(H291:K291)</f>
        <v>5</v>
      </c>
      <c r="M291" s="282" t="s">
        <v>623</v>
      </c>
      <c r="N291" s="282" t="s">
        <v>34</v>
      </c>
      <c r="O291" s="282" t="s">
        <v>701</v>
      </c>
    </row>
    <row r="292" spans="1:15" s="226" customFormat="1" ht="72" x14ac:dyDescent="0.3">
      <c r="A292" s="287"/>
      <c r="B292" s="305" t="s">
        <v>2</v>
      </c>
      <c r="C292" s="306" t="s">
        <v>606</v>
      </c>
      <c r="D292" s="305" t="s">
        <v>1028</v>
      </c>
      <c r="E292" s="305" t="s">
        <v>4</v>
      </c>
      <c r="F292" s="307">
        <v>45579</v>
      </c>
      <c r="G292" s="305" t="s">
        <v>5</v>
      </c>
      <c r="H292" s="305">
        <v>0</v>
      </c>
      <c r="I292" s="305">
        <v>1</v>
      </c>
      <c r="J292" s="305">
        <v>8</v>
      </c>
      <c r="K292" s="305">
        <v>0</v>
      </c>
      <c r="L292" s="305">
        <f>SUBTOTAL(9,H292:K292)</f>
        <v>9</v>
      </c>
      <c r="M292" s="305" t="s">
        <v>11</v>
      </c>
      <c r="N292" s="305" t="s">
        <v>12</v>
      </c>
      <c r="O292" s="305" t="s">
        <v>761</v>
      </c>
    </row>
    <row r="293" spans="1:15" ht="60" x14ac:dyDescent="0.3">
      <c r="A293" s="287"/>
      <c r="B293" s="258" t="s">
        <v>227</v>
      </c>
      <c r="C293" s="258" t="s">
        <v>519</v>
      </c>
      <c r="D293" s="258" t="s">
        <v>1029</v>
      </c>
      <c r="E293" s="258" t="s">
        <v>4</v>
      </c>
      <c r="F293" s="210" t="s">
        <v>1036</v>
      </c>
      <c r="G293" s="258" t="s">
        <v>225</v>
      </c>
      <c r="H293" s="258">
        <v>0</v>
      </c>
      <c r="I293" s="258">
        <v>20</v>
      </c>
      <c r="J293" s="258">
        <v>18</v>
      </c>
      <c r="K293" s="258">
        <v>0</v>
      </c>
      <c r="L293" s="258">
        <v>38</v>
      </c>
      <c r="M293" s="258" t="s">
        <v>134</v>
      </c>
      <c r="N293" s="258" t="s">
        <v>12</v>
      </c>
      <c r="O293" s="258" t="s">
        <v>521</v>
      </c>
    </row>
    <row r="294" spans="1:15" s="226" customFormat="1" ht="24" x14ac:dyDescent="0.3">
      <c r="A294" s="287"/>
      <c r="B294" s="258" t="s">
        <v>2</v>
      </c>
      <c r="C294" s="258" t="s">
        <v>619</v>
      </c>
      <c r="D294" s="258" t="s">
        <v>1029</v>
      </c>
      <c r="E294" s="258" t="s">
        <v>16</v>
      </c>
      <c r="F294" s="210">
        <v>45580</v>
      </c>
      <c r="G294" s="258" t="s">
        <v>240</v>
      </c>
      <c r="H294" s="258">
        <v>0</v>
      </c>
      <c r="I294" s="258">
        <v>6</v>
      </c>
      <c r="J294" s="258">
        <v>14</v>
      </c>
      <c r="K294" s="258">
        <v>0</v>
      </c>
      <c r="L294" s="258">
        <v>20</v>
      </c>
      <c r="M294" s="258" t="s">
        <v>613</v>
      </c>
      <c r="N294" s="258" t="s">
        <v>12</v>
      </c>
      <c r="O294" s="258" t="s">
        <v>620</v>
      </c>
    </row>
    <row r="295" spans="1:15" s="239" customFormat="1" ht="108" x14ac:dyDescent="0.3">
      <c r="A295" s="287"/>
      <c r="B295" s="258" t="s">
        <v>678</v>
      </c>
      <c r="C295" s="258" t="s">
        <v>634</v>
      </c>
      <c r="D295" s="258" t="s">
        <v>1028</v>
      </c>
      <c r="E295" s="258" t="s">
        <v>4</v>
      </c>
      <c r="F295" s="210">
        <v>45580</v>
      </c>
      <c r="G295" s="258" t="s">
        <v>5</v>
      </c>
      <c r="H295" s="258">
        <v>7</v>
      </c>
      <c r="I295" s="258">
        <v>34</v>
      </c>
      <c r="J295" s="258">
        <v>45</v>
      </c>
      <c r="K295" s="258">
        <v>0</v>
      </c>
      <c r="L295" s="258">
        <v>86</v>
      </c>
      <c r="M295" s="258" t="s">
        <v>635</v>
      </c>
      <c r="N295" s="258" t="s">
        <v>12</v>
      </c>
      <c r="O295" s="258" t="s">
        <v>636</v>
      </c>
    </row>
    <row r="296" spans="1:15" s="278" customFormat="1" ht="72" x14ac:dyDescent="0.3">
      <c r="A296" s="337"/>
      <c r="B296" s="262" t="s">
        <v>2</v>
      </c>
      <c r="C296" s="258" t="s">
        <v>914</v>
      </c>
      <c r="D296" s="258" t="s">
        <v>1028</v>
      </c>
      <c r="E296" s="258" t="s">
        <v>4</v>
      </c>
      <c r="F296" s="210">
        <v>45580</v>
      </c>
      <c r="G296" s="258" t="s">
        <v>5</v>
      </c>
      <c r="H296" s="258">
        <v>50</v>
      </c>
      <c r="I296" s="258">
        <v>0</v>
      </c>
      <c r="J296" s="258">
        <v>10</v>
      </c>
      <c r="K296" s="258">
        <v>0</v>
      </c>
      <c r="L296" s="258">
        <f>SUM(H296:K296)</f>
        <v>60</v>
      </c>
      <c r="M296" s="258" t="s">
        <v>6</v>
      </c>
      <c r="N296" s="258" t="s">
        <v>12</v>
      </c>
      <c r="O296" s="258" t="s">
        <v>913</v>
      </c>
    </row>
    <row r="297" spans="1:15" s="226" customFormat="1" ht="60" x14ac:dyDescent="0.3">
      <c r="A297" s="287"/>
      <c r="B297" s="258" t="s">
        <v>2</v>
      </c>
      <c r="C297" s="258" t="s">
        <v>600</v>
      </c>
      <c r="D297" s="258" t="s">
        <v>1029</v>
      </c>
      <c r="E297" s="258" t="s">
        <v>4</v>
      </c>
      <c r="F297" s="210">
        <v>45581</v>
      </c>
      <c r="G297" s="258" t="s">
        <v>601</v>
      </c>
      <c r="H297" s="258">
        <v>5</v>
      </c>
      <c r="I297" s="258">
        <v>4</v>
      </c>
      <c r="J297" s="258">
        <v>36</v>
      </c>
      <c r="K297" s="258">
        <v>5</v>
      </c>
      <c r="L297" s="258">
        <f>SUBTOTAL(9,H297:K297)</f>
        <v>50</v>
      </c>
      <c r="M297" s="258" t="s">
        <v>7</v>
      </c>
      <c r="N297" s="258" t="s">
        <v>12</v>
      </c>
      <c r="O297" s="258" t="s">
        <v>602</v>
      </c>
    </row>
    <row r="298" spans="1:15" s="278" customFormat="1" ht="36" x14ac:dyDescent="0.3">
      <c r="A298" s="287"/>
      <c r="B298" s="258" t="s">
        <v>968</v>
      </c>
      <c r="C298" s="240" t="s">
        <v>954</v>
      </c>
      <c r="D298" s="258" t="s">
        <v>1028</v>
      </c>
      <c r="E298" s="258" t="s">
        <v>15</v>
      </c>
      <c r="F298" s="210">
        <v>45581</v>
      </c>
      <c r="G298" s="258" t="s">
        <v>956</v>
      </c>
      <c r="H298" s="258">
        <v>0</v>
      </c>
      <c r="I298" s="258">
        <v>0</v>
      </c>
      <c r="J298" s="258">
        <v>12</v>
      </c>
      <c r="K298" s="258">
        <v>0</v>
      </c>
      <c r="L298" s="258">
        <f>SUBTOTAL(9,H298:K298)</f>
        <v>12</v>
      </c>
      <c r="M298" s="258" t="s">
        <v>953</v>
      </c>
      <c r="N298" s="258" t="s">
        <v>12</v>
      </c>
      <c r="O298" s="240" t="s">
        <v>959</v>
      </c>
    </row>
    <row r="299" spans="1:15" ht="72.599999999999994" thickBot="1" x14ac:dyDescent="0.35">
      <c r="A299" s="287"/>
      <c r="B299" s="308" t="s">
        <v>227</v>
      </c>
      <c r="C299" s="308" t="s">
        <v>520</v>
      </c>
      <c r="D299" s="308" t="s">
        <v>1029</v>
      </c>
      <c r="E299" s="308" t="s">
        <v>4</v>
      </c>
      <c r="F299" s="309" t="s">
        <v>1037</v>
      </c>
      <c r="G299" s="308" t="s">
        <v>225</v>
      </c>
      <c r="H299" s="308">
        <v>0</v>
      </c>
      <c r="I299" s="308">
        <v>20</v>
      </c>
      <c r="J299" s="308">
        <v>62</v>
      </c>
      <c r="K299" s="308">
        <v>0</v>
      </c>
      <c r="L299" s="308">
        <v>82</v>
      </c>
      <c r="M299" s="308" t="s">
        <v>134</v>
      </c>
      <c r="N299" s="308" t="s">
        <v>12</v>
      </c>
      <c r="O299" s="308" t="s">
        <v>632</v>
      </c>
    </row>
    <row r="300" spans="1:15" s="257" customFormat="1" ht="180.6" thickBot="1" x14ac:dyDescent="0.35">
      <c r="A300" s="208"/>
      <c r="B300" s="282" t="s">
        <v>8</v>
      </c>
      <c r="C300" s="282" t="s">
        <v>807</v>
      </c>
      <c r="D300" s="282" t="s">
        <v>280</v>
      </c>
      <c r="E300" s="282" t="s">
        <v>15</v>
      </c>
      <c r="F300" s="293" t="s">
        <v>808</v>
      </c>
      <c r="G300" s="282" t="s">
        <v>809</v>
      </c>
      <c r="H300" s="282">
        <v>0</v>
      </c>
      <c r="I300" s="282">
        <v>0</v>
      </c>
      <c r="J300" s="282">
        <v>4</v>
      </c>
      <c r="K300" s="282">
        <v>0</v>
      </c>
      <c r="L300" s="282">
        <v>4</v>
      </c>
      <c r="M300" s="282" t="s">
        <v>806</v>
      </c>
      <c r="N300" s="282" t="s">
        <v>31</v>
      </c>
      <c r="O300" s="282" t="s">
        <v>810</v>
      </c>
    </row>
    <row r="301" spans="1:15" s="257" customFormat="1" ht="48" x14ac:dyDescent="0.3">
      <c r="A301" s="287"/>
      <c r="B301" s="305" t="s">
        <v>2</v>
      </c>
      <c r="C301" s="305" t="s">
        <v>849</v>
      </c>
      <c r="D301" s="305" t="s">
        <v>1029</v>
      </c>
      <c r="E301" s="305" t="s">
        <v>4</v>
      </c>
      <c r="F301" s="307">
        <v>45582</v>
      </c>
      <c r="G301" s="305" t="s">
        <v>5</v>
      </c>
      <c r="H301" s="305">
        <v>0</v>
      </c>
      <c r="I301" s="305">
        <v>3</v>
      </c>
      <c r="J301" s="305">
        <v>8</v>
      </c>
      <c r="K301" s="305">
        <v>0</v>
      </c>
      <c r="L301" s="305">
        <f>SUBTOTAL(9,H301:K301)</f>
        <v>11</v>
      </c>
      <c r="M301" s="305" t="s">
        <v>11</v>
      </c>
      <c r="N301" s="305" t="s">
        <v>12</v>
      </c>
      <c r="O301" s="305" t="s">
        <v>850</v>
      </c>
    </row>
    <row r="302" spans="1:15" ht="36" x14ac:dyDescent="0.3">
      <c r="A302" s="287"/>
      <c r="B302" s="258" t="s">
        <v>175</v>
      </c>
      <c r="C302" s="258" t="s">
        <v>595</v>
      </c>
      <c r="D302" s="258" t="s">
        <v>1029</v>
      </c>
      <c r="E302" s="258" t="s">
        <v>4</v>
      </c>
      <c r="F302" s="210">
        <v>45583</v>
      </c>
      <c r="G302" s="258" t="s">
        <v>630</v>
      </c>
      <c r="H302" s="258">
        <v>0</v>
      </c>
      <c r="I302" s="258">
        <v>3</v>
      </c>
      <c r="J302" s="258">
        <v>15</v>
      </c>
      <c r="K302" s="258">
        <v>7</v>
      </c>
      <c r="L302" s="258">
        <f>SUBTOTAL(9,H302:K302)</f>
        <v>25</v>
      </c>
      <c r="M302" s="258" t="s">
        <v>7</v>
      </c>
      <c r="N302" s="258" t="s">
        <v>12</v>
      </c>
      <c r="O302" s="258" t="s">
        <v>631</v>
      </c>
    </row>
    <row r="303" spans="1:15" s="257" customFormat="1" ht="60" x14ac:dyDescent="0.3">
      <c r="A303" s="287"/>
      <c r="B303" s="258" t="s">
        <v>2</v>
      </c>
      <c r="C303" s="258" t="s">
        <v>851</v>
      </c>
      <c r="D303" s="258" t="s">
        <v>1029</v>
      </c>
      <c r="E303" s="258" t="s">
        <v>4</v>
      </c>
      <c r="F303" s="210">
        <v>45584</v>
      </c>
      <c r="G303" s="258" t="s">
        <v>5</v>
      </c>
      <c r="H303" s="258">
        <v>5</v>
      </c>
      <c r="I303" s="258">
        <v>14</v>
      </c>
      <c r="J303" s="258">
        <v>31</v>
      </c>
      <c r="K303" s="258">
        <v>0</v>
      </c>
      <c r="L303" s="258">
        <f>SUBTOTAL(9,H303:K303)</f>
        <v>50</v>
      </c>
      <c r="M303" s="258" t="s">
        <v>11</v>
      </c>
      <c r="N303" s="258" t="s">
        <v>12</v>
      </c>
      <c r="O303" s="258" t="s">
        <v>852</v>
      </c>
    </row>
    <row r="304" spans="1:15" s="278" customFormat="1" ht="48.6" thickBot="1" x14ac:dyDescent="0.35">
      <c r="A304" s="287"/>
      <c r="B304" s="308" t="s">
        <v>2</v>
      </c>
      <c r="C304" s="308" t="s">
        <v>910</v>
      </c>
      <c r="D304" s="308" t="s">
        <v>1029</v>
      </c>
      <c r="E304" s="308" t="s">
        <v>4</v>
      </c>
      <c r="F304" s="309">
        <v>45586</v>
      </c>
      <c r="G304" s="308" t="s">
        <v>5</v>
      </c>
      <c r="H304" s="308">
        <v>19</v>
      </c>
      <c r="I304" s="308">
        <v>423</v>
      </c>
      <c r="J304" s="308">
        <v>0</v>
      </c>
      <c r="K304" s="308">
        <v>0</v>
      </c>
      <c r="L304" s="308">
        <f>SUM(H304:K304)</f>
        <v>442</v>
      </c>
      <c r="M304" s="308" t="s">
        <v>911</v>
      </c>
      <c r="N304" s="308" t="s">
        <v>12</v>
      </c>
      <c r="O304" s="308" t="s">
        <v>912</v>
      </c>
    </row>
    <row r="305" spans="1:15" s="245" customFormat="1" ht="144.6" thickBot="1" x14ac:dyDescent="0.35">
      <c r="A305" s="208"/>
      <c r="B305" s="282" t="s">
        <v>371</v>
      </c>
      <c r="C305" s="282" t="s">
        <v>654</v>
      </c>
      <c r="D305" s="282" t="s">
        <v>655</v>
      </c>
      <c r="E305" s="282" t="s">
        <v>4</v>
      </c>
      <c r="F305" s="293">
        <v>45587</v>
      </c>
      <c r="G305" s="282" t="s">
        <v>652</v>
      </c>
      <c r="H305" s="282">
        <v>0</v>
      </c>
      <c r="I305" s="282">
        <v>0</v>
      </c>
      <c r="J305" s="282">
        <v>3</v>
      </c>
      <c r="K305" s="282">
        <v>0</v>
      </c>
      <c r="L305" s="282">
        <v>3</v>
      </c>
      <c r="M305" s="282" t="s">
        <v>10</v>
      </c>
      <c r="N305" s="282" t="s">
        <v>649</v>
      </c>
      <c r="O305" s="282" t="s">
        <v>656</v>
      </c>
    </row>
    <row r="306" spans="1:15" s="278" customFormat="1" ht="180" x14ac:dyDescent="0.3">
      <c r="A306" s="287"/>
      <c r="B306" s="305" t="s">
        <v>8</v>
      </c>
      <c r="C306" s="305" t="s">
        <v>909</v>
      </c>
      <c r="D306" s="305" t="s">
        <v>1029</v>
      </c>
      <c r="E306" s="305" t="s">
        <v>4</v>
      </c>
      <c r="F306" s="307">
        <v>45587</v>
      </c>
      <c r="G306" s="305" t="s">
        <v>5</v>
      </c>
      <c r="H306" s="305">
        <v>7</v>
      </c>
      <c r="I306" s="305">
        <v>57</v>
      </c>
      <c r="J306" s="305">
        <v>187</v>
      </c>
      <c r="K306" s="305">
        <v>0</v>
      </c>
      <c r="L306" s="305">
        <f>SUM(H306:K306)</f>
        <v>251</v>
      </c>
      <c r="M306" s="305" t="s">
        <v>6</v>
      </c>
      <c r="N306" s="305" t="s">
        <v>12</v>
      </c>
      <c r="O306" s="305" t="s">
        <v>908</v>
      </c>
    </row>
    <row r="307" spans="1:15" s="257" customFormat="1" ht="60" x14ac:dyDescent="0.3">
      <c r="A307" s="287"/>
      <c r="B307" s="258" t="s">
        <v>2</v>
      </c>
      <c r="C307" s="258" t="s">
        <v>853</v>
      </c>
      <c r="D307" s="258" t="s">
        <v>1029</v>
      </c>
      <c r="E307" s="258" t="s">
        <v>4</v>
      </c>
      <c r="F307" s="210">
        <v>45587</v>
      </c>
      <c r="G307" s="258" t="s">
        <v>5</v>
      </c>
      <c r="H307" s="258">
        <v>0</v>
      </c>
      <c r="I307" s="258">
        <v>3</v>
      </c>
      <c r="J307" s="258">
        <v>8</v>
      </c>
      <c r="K307" s="258">
        <v>0</v>
      </c>
      <c r="L307" s="258">
        <f>SUBTOTAL(9,H307:K307)</f>
        <v>11</v>
      </c>
      <c r="M307" s="258" t="s">
        <v>11</v>
      </c>
      <c r="N307" s="258" t="s">
        <v>12</v>
      </c>
      <c r="O307" s="258" t="s">
        <v>855</v>
      </c>
    </row>
    <row r="308" spans="1:15" ht="60" x14ac:dyDescent="0.3">
      <c r="A308" s="287"/>
      <c r="B308" s="258" t="s">
        <v>227</v>
      </c>
      <c r="C308" s="258" t="s">
        <v>633</v>
      </c>
      <c r="D308" s="258" t="s">
        <v>1029</v>
      </c>
      <c r="E308" s="258" t="s">
        <v>4</v>
      </c>
      <c r="F308" s="210" t="s">
        <v>1038</v>
      </c>
      <c r="G308" s="258" t="s">
        <v>225</v>
      </c>
      <c r="H308" s="258">
        <v>9</v>
      </c>
      <c r="I308" s="258">
        <v>30</v>
      </c>
      <c r="J308" s="258">
        <v>101</v>
      </c>
      <c r="K308" s="258">
        <v>0</v>
      </c>
      <c r="L308" s="258">
        <v>140</v>
      </c>
      <c r="M308" s="258" t="s">
        <v>134</v>
      </c>
      <c r="N308" s="258" t="s">
        <v>12</v>
      </c>
      <c r="O308" s="258" t="s">
        <v>637</v>
      </c>
    </row>
    <row r="309" spans="1:15" s="257" customFormat="1" ht="36.6" thickBot="1" x14ac:dyDescent="0.35">
      <c r="A309" s="287"/>
      <c r="B309" s="308" t="s">
        <v>2</v>
      </c>
      <c r="C309" s="308" t="s">
        <v>854</v>
      </c>
      <c r="D309" s="308" t="s">
        <v>1029</v>
      </c>
      <c r="E309" s="308" t="s">
        <v>4</v>
      </c>
      <c r="F309" s="309">
        <v>45588</v>
      </c>
      <c r="G309" s="308" t="s">
        <v>5</v>
      </c>
      <c r="H309" s="308">
        <v>0</v>
      </c>
      <c r="I309" s="308">
        <v>4</v>
      </c>
      <c r="J309" s="308">
        <v>8</v>
      </c>
      <c r="K309" s="308">
        <v>0</v>
      </c>
      <c r="L309" s="308">
        <f>SUBTOTAL(9,H309:K309)</f>
        <v>12</v>
      </c>
      <c r="M309" s="308" t="s">
        <v>11</v>
      </c>
      <c r="N309" s="308" t="s">
        <v>12</v>
      </c>
      <c r="O309" s="308" t="s">
        <v>856</v>
      </c>
    </row>
    <row r="310" spans="1:15" s="246" customFormat="1" ht="72.599999999999994" thickBot="1" x14ac:dyDescent="0.35">
      <c r="A310" s="208"/>
      <c r="B310" s="282" t="s">
        <v>371</v>
      </c>
      <c r="C310" s="282" t="s">
        <v>657</v>
      </c>
      <c r="D310" s="282" t="s">
        <v>84</v>
      </c>
      <c r="E310" s="282" t="s">
        <v>4</v>
      </c>
      <c r="F310" s="293">
        <v>45589</v>
      </c>
      <c r="G310" s="282" t="s">
        <v>5</v>
      </c>
      <c r="H310" s="282">
        <v>0</v>
      </c>
      <c r="I310" s="282">
        <v>0</v>
      </c>
      <c r="J310" s="282">
        <v>3</v>
      </c>
      <c r="K310" s="282">
        <v>0</v>
      </c>
      <c r="L310" s="282">
        <v>3</v>
      </c>
      <c r="M310" s="282" t="s">
        <v>10</v>
      </c>
      <c r="N310" s="282" t="s">
        <v>649</v>
      </c>
      <c r="O310" s="282" t="s">
        <v>658</v>
      </c>
    </row>
    <row r="311" spans="1:15" s="278" customFormat="1" ht="156" x14ac:dyDescent="0.3">
      <c r="A311" s="287"/>
      <c r="B311" s="305" t="s">
        <v>331</v>
      </c>
      <c r="C311" s="305" t="s">
        <v>907</v>
      </c>
      <c r="D311" s="305" t="s">
        <v>84</v>
      </c>
      <c r="E311" s="305" t="s">
        <v>4</v>
      </c>
      <c r="F311" s="307">
        <v>45589</v>
      </c>
      <c r="G311" s="305" t="s">
        <v>5</v>
      </c>
      <c r="H311" s="305">
        <v>45</v>
      </c>
      <c r="I311" s="305">
        <v>0</v>
      </c>
      <c r="J311" s="305">
        <v>0</v>
      </c>
      <c r="K311" s="305">
        <v>0</v>
      </c>
      <c r="L311" s="305">
        <f>SUM(H311:K311)</f>
        <v>45</v>
      </c>
      <c r="M311" s="305" t="s">
        <v>6</v>
      </c>
      <c r="N311" s="305" t="s">
        <v>12</v>
      </c>
      <c r="O311" s="305" t="s">
        <v>906</v>
      </c>
    </row>
    <row r="312" spans="1:15" s="257" customFormat="1" ht="96" x14ac:dyDescent="0.3">
      <c r="A312" s="287"/>
      <c r="B312" s="258" t="s">
        <v>175</v>
      </c>
      <c r="C312" s="258" t="s">
        <v>595</v>
      </c>
      <c r="D312" s="258" t="s">
        <v>1029</v>
      </c>
      <c r="E312" s="258" t="s">
        <v>4</v>
      </c>
      <c r="F312" s="210">
        <v>45590</v>
      </c>
      <c r="G312" s="258" t="s">
        <v>601</v>
      </c>
      <c r="H312" s="258">
        <v>0</v>
      </c>
      <c r="I312" s="258">
        <v>4</v>
      </c>
      <c r="J312" s="258">
        <v>23</v>
      </c>
      <c r="K312" s="258">
        <v>8</v>
      </c>
      <c r="L312" s="258">
        <f>SUBTOTAL(9,H312:K312)</f>
        <v>35</v>
      </c>
      <c r="M312" s="258" t="s">
        <v>285</v>
      </c>
      <c r="N312" s="258" t="s">
        <v>12</v>
      </c>
      <c r="O312" s="258" t="s">
        <v>804</v>
      </c>
    </row>
    <row r="313" spans="1:15" ht="60.6" thickBot="1" x14ac:dyDescent="0.35">
      <c r="A313" s="287"/>
      <c r="B313" s="308" t="s">
        <v>32</v>
      </c>
      <c r="C313" s="308" t="s">
        <v>638</v>
      </c>
      <c r="D313" s="308" t="s">
        <v>1029</v>
      </c>
      <c r="E313" s="308" t="s">
        <v>4</v>
      </c>
      <c r="F313" s="309">
        <v>45590</v>
      </c>
      <c r="G313" s="308" t="s">
        <v>5</v>
      </c>
      <c r="H313" s="308">
        <v>2</v>
      </c>
      <c r="I313" s="308">
        <v>0</v>
      </c>
      <c r="J313" s="308">
        <v>241</v>
      </c>
      <c r="K313" s="308">
        <v>6</v>
      </c>
      <c r="L313" s="308">
        <v>249</v>
      </c>
      <c r="M313" s="308" t="s">
        <v>644</v>
      </c>
      <c r="N313" s="308" t="s">
        <v>12</v>
      </c>
      <c r="O313" s="308" t="s">
        <v>639</v>
      </c>
    </row>
    <row r="314" spans="1:15" s="247" customFormat="1" ht="36.6" thickBot="1" x14ac:dyDescent="0.35">
      <c r="A314" s="208"/>
      <c r="B314" s="282" t="s">
        <v>371</v>
      </c>
      <c r="C314" s="282" t="s">
        <v>659</v>
      </c>
      <c r="D314" s="282" t="s">
        <v>280</v>
      </c>
      <c r="E314" s="282" t="s">
        <v>16</v>
      </c>
      <c r="F314" s="293" t="s">
        <v>1039</v>
      </c>
      <c r="G314" s="282" t="s">
        <v>240</v>
      </c>
      <c r="H314" s="282">
        <v>0</v>
      </c>
      <c r="I314" s="282">
        <v>5</v>
      </c>
      <c r="J314" s="282">
        <v>15</v>
      </c>
      <c r="K314" s="282">
        <v>0</v>
      </c>
      <c r="L314" s="282">
        <v>20</v>
      </c>
      <c r="M314" s="282" t="s">
        <v>10</v>
      </c>
      <c r="N314" s="282" t="s">
        <v>649</v>
      </c>
      <c r="O314" s="282" t="s">
        <v>660</v>
      </c>
    </row>
    <row r="315" spans="1:15" s="257" customFormat="1" ht="60" x14ac:dyDescent="0.3">
      <c r="A315" s="287"/>
      <c r="B315" s="305" t="s">
        <v>2</v>
      </c>
      <c r="C315" s="305" t="s">
        <v>857</v>
      </c>
      <c r="D315" s="305" t="s">
        <v>1029</v>
      </c>
      <c r="E315" s="305" t="s">
        <v>4</v>
      </c>
      <c r="F315" s="307">
        <v>45591</v>
      </c>
      <c r="G315" s="305" t="s">
        <v>5</v>
      </c>
      <c r="H315" s="305">
        <v>1</v>
      </c>
      <c r="I315" s="305">
        <v>0</v>
      </c>
      <c r="J315" s="305">
        <v>6</v>
      </c>
      <c r="K315" s="305">
        <v>0</v>
      </c>
      <c r="L315" s="305">
        <f>SUBTOTAL(9,H315:K315)</f>
        <v>7</v>
      </c>
      <c r="M315" s="305" t="s">
        <v>11</v>
      </c>
      <c r="N315" s="305" t="s">
        <v>12</v>
      </c>
      <c r="O315" s="305" t="s">
        <v>858</v>
      </c>
    </row>
    <row r="316" spans="1:15" s="278" customFormat="1" ht="98.25" customHeight="1" x14ac:dyDescent="0.3">
      <c r="A316" s="287"/>
      <c r="B316" s="258" t="s">
        <v>968</v>
      </c>
      <c r="C316" s="214" t="s">
        <v>960</v>
      </c>
      <c r="D316" s="258" t="s">
        <v>1029</v>
      </c>
      <c r="E316" s="258" t="s">
        <v>4</v>
      </c>
      <c r="F316" s="210" t="s">
        <v>966</v>
      </c>
      <c r="G316" s="258" t="s">
        <v>961</v>
      </c>
      <c r="H316" s="258">
        <v>2</v>
      </c>
      <c r="I316" s="258">
        <v>0</v>
      </c>
      <c r="J316" s="258">
        <v>23</v>
      </c>
      <c r="K316" s="258">
        <v>0</v>
      </c>
      <c r="L316" s="258">
        <f>SUBTOTAL(9,H316:K316)</f>
        <v>25</v>
      </c>
      <c r="M316" s="258" t="s">
        <v>6</v>
      </c>
      <c r="N316" s="258" t="s">
        <v>12</v>
      </c>
      <c r="O316" s="258" t="s">
        <v>962</v>
      </c>
    </row>
    <row r="317" spans="1:15" ht="60.6" thickBot="1" x14ac:dyDescent="0.35">
      <c r="A317" s="287"/>
      <c r="B317" s="308" t="s">
        <v>32</v>
      </c>
      <c r="C317" s="308" t="s">
        <v>640</v>
      </c>
      <c r="D317" s="308" t="s">
        <v>1029</v>
      </c>
      <c r="E317" s="308" t="s">
        <v>4</v>
      </c>
      <c r="F317" s="309">
        <v>45593</v>
      </c>
      <c r="G317" s="308" t="s">
        <v>5</v>
      </c>
      <c r="H317" s="308">
        <v>4</v>
      </c>
      <c r="I317" s="308">
        <v>0</v>
      </c>
      <c r="J317" s="308">
        <v>263</v>
      </c>
      <c r="K317" s="308">
        <v>21</v>
      </c>
      <c r="L317" s="308">
        <v>288</v>
      </c>
      <c r="M317" s="308" t="s">
        <v>645</v>
      </c>
      <c r="N317" s="308" t="s">
        <v>12</v>
      </c>
      <c r="O317" s="308" t="s">
        <v>641</v>
      </c>
    </row>
    <row r="318" spans="1:15" s="248" customFormat="1" ht="48.6" thickBot="1" x14ac:dyDescent="0.35">
      <c r="A318" s="208"/>
      <c r="B318" s="282" t="s">
        <v>8</v>
      </c>
      <c r="C318" s="282" t="s">
        <v>661</v>
      </c>
      <c r="D318" s="282" t="s">
        <v>84</v>
      </c>
      <c r="E318" s="282" t="s">
        <v>4</v>
      </c>
      <c r="F318" s="293">
        <v>45594</v>
      </c>
      <c r="G318" s="282" t="s">
        <v>652</v>
      </c>
      <c r="H318" s="282">
        <v>0</v>
      </c>
      <c r="I318" s="282">
        <v>7</v>
      </c>
      <c r="J318" s="282">
        <v>11</v>
      </c>
      <c r="K318" s="282">
        <v>0</v>
      </c>
      <c r="L318" s="282">
        <v>18</v>
      </c>
      <c r="M318" s="282" t="s">
        <v>10</v>
      </c>
      <c r="N318" s="282" t="s">
        <v>649</v>
      </c>
      <c r="O318" s="282" t="s">
        <v>662</v>
      </c>
    </row>
    <row r="319" spans="1:15" s="278" customFormat="1" ht="36" x14ac:dyDescent="0.3">
      <c r="A319" s="287"/>
      <c r="B319" s="314" t="s">
        <v>2</v>
      </c>
      <c r="C319" s="305" t="s">
        <v>903</v>
      </c>
      <c r="D319" s="305" t="s">
        <v>1029</v>
      </c>
      <c r="E319" s="305" t="s">
        <v>4</v>
      </c>
      <c r="F319" s="307">
        <v>45594</v>
      </c>
      <c r="G319" s="305" t="s">
        <v>5</v>
      </c>
      <c r="H319" s="305">
        <v>7</v>
      </c>
      <c r="I319" s="305">
        <v>0</v>
      </c>
      <c r="J319" s="305">
        <v>119</v>
      </c>
      <c r="K319" s="305">
        <v>0</v>
      </c>
      <c r="L319" s="305">
        <f>SUM(H319:K319)</f>
        <v>126</v>
      </c>
      <c r="M319" s="305" t="s">
        <v>902</v>
      </c>
      <c r="N319" s="305" t="s">
        <v>12</v>
      </c>
      <c r="O319" s="305" t="s">
        <v>901</v>
      </c>
    </row>
    <row r="320" spans="1:15" ht="60" x14ac:dyDescent="0.3">
      <c r="A320" s="287"/>
      <c r="B320" s="258" t="s">
        <v>32</v>
      </c>
      <c r="C320" s="258" t="s">
        <v>642</v>
      </c>
      <c r="D320" s="258" t="s">
        <v>1029</v>
      </c>
      <c r="E320" s="258" t="s">
        <v>4</v>
      </c>
      <c r="F320" s="210">
        <v>45595</v>
      </c>
      <c r="G320" s="258" t="s">
        <v>578</v>
      </c>
      <c r="H320" s="258">
        <v>1</v>
      </c>
      <c r="I320" s="258">
        <v>0</v>
      </c>
      <c r="J320" s="258">
        <v>86</v>
      </c>
      <c r="K320" s="258">
        <v>0</v>
      </c>
      <c r="L320" s="258">
        <v>87</v>
      </c>
      <c r="M320" s="258" t="s">
        <v>646</v>
      </c>
      <c r="N320" s="258" t="s">
        <v>12</v>
      </c>
      <c r="O320" s="258" t="s">
        <v>643</v>
      </c>
    </row>
    <row r="321" spans="1:15" ht="36" x14ac:dyDescent="0.3">
      <c r="A321" s="287"/>
      <c r="B321" s="258" t="s">
        <v>371</v>
      </c>
      <c r="C321" s="258" t="s">
        <v>663</v>
      </c>
      <c r="D321" s="258" t="s">
        <v>1028</v>
      </c>
      <c r="E321" s="258" t="s">
        <v>4</v>
      </c>
      <c r="F321" s="210">
        <v>45595</v>
      </c>
      <c r="G321" s="258" t="s">
        <v>652</v>
      </c>
      <c r="H321" s="258">
        <v>0</v>
      </c>
      <c r="I321" s="258">
        <v>20</v>
      </c>
      <c r="J321" s="258">
        <v>37</v>
      </c>
      <c r="K321" s="258">
        <v>0</v>
      </c>
      <c r="L321" s="258">
        <v>57</v>
      </c>
      <c r="M321" s="258" t="s">
        <v>10</v>
      </c>
      <c r="N321" s="258" t="s">
        <v>12</v>
      </c>
      <c r="O321" s="258" t="s">
        <v>664</v>
      </c>
    </row>
    <row r="322" spans="1:15" s="257" customFormat="1" ht="108.6" thickBot="1" x14ac:dyDescent="0.35">
      <c r="A322" s="287"/>
      <c r="B322" s="308" t="s">
        <v>2</v>
      </c>
      <c r="C322" s="308" t="s">
        <v>859</v>
      </c>
      <c r="D322" s="308" t="s">
        <v>1028</v>
      </c>
      <c r="E322" s="308" t="s">
        <v>4</v>
      </c>
      <c r="F322" s="309">
        <v>45595</v>
      </c>
      <c r="G322" s="308" t="s">
        <v>5</v>
      </c>
      <c r="H322" s="308">
        <v>0</v>
      </c>
      <c r="I322" s="308">
        <v>5</v>
      </c>
      <c r="J322" s="308">
        <v>6</v>
      </c>
      <c r="K322" s="308">
        <v>0</v>
      </c>
      <c r="L322" s="308">
        <f>SUBTOTAL(9,H322:K322)</f>
        <v>11</v>
      </c>
      <c r="M322" s="308" t="s">
        <v>11</v>
      </c>
      <c r="N322" s="308" t="s">
        <v>12</v>
      </c>
      <c r="O322" s="308" t="s">
        <v>860</v>
      </c>
    </row>
    <row r="323" spans="1:15" ht="24.6" thickBot="1" x14ac:dyDescent="0.35">
      <c r="A323" s="183"/>
      <c r="B323" s="282" t="s">
        <v>371</v>
      </c>
      <c r="C323" s="282" t="s">
        <v>665</v>
      </c>
      <c r="D323" s="282" t="s">
        <v>84</v>
      </c>
      <c r="E323" s="282" t="s">
        <v>4</v>
      </c>
      <c r="F323" s="293">
        <v>45596</v>
      </c>
      <c r="G323" s="282" t="s">
        <v>666</v>
      </c>
      <c r="H323" s="282">
        <v>0</v>
      </c>
      <c r="I323" s="282">
        <v>0</v>
      </c>
      <c r="J323" s="282">
        <v>4</v>
      </c>
      <c r="K323" s="282">
        <v>0</v>
      </c>
      <c r="L323" s="282">
        <v>4</v>
      </c>
      <c r="M323" s="282" t="s">
        <v>10</v>
      </c>
      <c r="N323" s="282" t="s">
        <v>34</v>
      </c>
      <c r="O323" s="282" t="s">
        <v>667</v>
      </c>
    </row>
    <row r="324" spans="1:15" ht="339" customHeight="1" x14ac:dyDescent="0.3">
      <c r="A324" s="287"/>
      <c r="B324" s="305" t="s">
        <v>32</v>
      </c>
      <c r="C324" s="305" t="s">
        <v>669</v>
      </c>
      <c r="D324" s="305" t="s">
        <v>1029</v>
      </c>
      <c r="E324" s="305" t="s">
        <v>4</v>
      </c>
      <c r="F324" s="307">
        <v>45597</v>
      </c>
      <c r="G324" s="305" t="s">
        <v>5</v>
      </c>
      <c r="H324" s="305">
        <v>24</v>
      </c>
      <c r="I324" s="305">
        <v>279</v>
      </c>
      <c r="J324" s="305">
        <v>340</v>
      </c>
      <c r="K324" s="305">
        <v>60</v>
      </c>
      <c r="L324" s="305">
        <f>SUM(H324:K324)</f>
        <v>703</v>
      </c>
      <c r="M324" s="305" t="s">
        <v>6</v>
      </c>
      <c r="N324" s="305" t="s">
        <v>12</v>
      </c>
      <c r="O324" s="305" t="s">
        <v>668</v>
      </c>
    </row>
    <row r="325" spans="1:15" s="264" customFormat="1" ht="48" x14ac:dyDescent="0.3">
      <c r="A325" s="287"/>
      <c r="B325" s="258" t="s">
        <v>32</v>
      </c>
      <c r="C325" s="258" t="s">
        <v>897</v>
      </c>
      <c r="D325" s="258" t="s">
        <v>1029</v>
      </c>
      <c r="E325" s="258" t="s">
        <v>4</v>
      </c>
      <c r="F325" s="210">
        <v>45597</v>
      </c>
      <c r="G325" s="258" t="s">
        <v>5</v>
      </c>
      <c r="H325" s="258">
        <v>7</v>
      </c>
      <c r="I325" s="258">
        <v>0</v>
      </c>
      <c r="J325" s="258">
        <v>203</v>
      </c>
      <c r="K325" s="258">
        <v>0</v>
      </c>
      <c r="L325" s="258">
        <f>SUM(H325:K325)</f>
        <v>210</v>
      </c>
      <c r="M325" s="258" t="s">
        <v>899</v>
      </c>
      <c r="N325" s="258" t="s">
        <v>12</v>
      </c>
      <c r="O325" s="258" t="s">
        <v>898</v>
      </c>
    </row>
    <row r="326" spans="1:15" s="264" customFormat="1" ht="48" x14ac:dyDescent="0.3">
      <c r="A326" s="287"/>
      <c r="B326" s="258" t="s">
        <v>3</v>
      </c>
      <c r="C326" s="258" t="s">
        <v>895</v>
      </c>
      <c r="D326" s="258" t="s">
        <v>1029</v>
      </c>
      <c r="E326" s="258" t="s">
        <v>4</v>
      </c>
      <c r="F326" s="210">
        <v>45598</v>
      </c>
      <c r="G326" s="258" t="s">
        <v>5</v>
      </c>
      <c r="H326" s="258">
        <v>9</v>
      </c>
      <c r="I326" s="258">
        <v>7</v>
      </c>
      <c r="J326" s="258">
        <v>37</v>
      </c>
      <c r="K326" s="258">
        <v>2</v>
      </c>
      <c r="L326" s="258">
        <f>SUM(H326:K326)</f>
        <v>55</v>
      </c>
      <c r="M326" s="258" t="s">
        <v>134</v>
      </c>
      <c r="N326" s="258" t="s">
        <v>12</v>
      </c>
      <c r="O326" s="258" t="s">
        <v>896</v>
      </c>
    </row>
    <row r="327" spans="1:15" ht="62.25" customHeight="1" x14ac:dyDescent="0.3">
      <c r="A327" s="287"/>
      <c r="B327" s="258" t="s">
        <v>365</v>
      </c>
      <c r="C327" s="258" t="s">
        <v>670</v>
      </c>
      <c r="D327" s="258" t="s">
        <v>1029</v>
      </c>
      <c r="E327" s="258" t="s">
        <v>4</v>
      </c>
      <c r="F327" s="210">
        <v>45598</v>
      </c>
      <c r="G327" s="258" t="s">
        <v>5</v>
      </c>
      <c r="H327" s="258">
        <v>2</v>
      </c>
      <c r="I327" s="258">
        <v>19</v>
      </c>
      <c r="J327" s="258">
        <v>103</v>
      </c>
      <c r="K327" s="258">
        <v>0</v>
      </c>
      <c r="L327" s="258">
        <f>SUM(H327:K327)</f>
        <v>124</v>
      </c>
      <c r="M327" s="258" t="s">
        <v>6</v>
      </c>
      <c r="N327" s="258" t="s">
        <v>12</v>
      </c>
      <c r="O327" s="258" t="s">
        <v>674</v>
      </c>
    </row>
    <row r="328" spans="1:15" s="278" customFormat="1" ht="62.25" customHeight="1" x14ac:dyDescent="0.3">
      <c r="A328" s="287"/>
      <c r="B328" s="258" t="s">
        <v>968</v>
      </c>
      <c r="C328" s="214" t="s">
        <v>960</v>
      </c>
      <c r="D328" s="258" t="s">
        <v>1029</v>
      </c>
      <c r="E328" s="258" t="s">
        <v>4</v>
      </c>
      <c r="F328" s="210" t="s">
        <v>967</v>
      </c>
      <c r="G328" s="258" t="s">
        <v>961</v>
      </c>
      <c r="H328" s="258">
        <v>2</v>
      </c>
      <c r="I328" s="258">
        <v>0</v>
      </c>
      <c r="J328" s="258">
        <v>23</v>
      </c>
      <c r="K328" s="258">
        <v>0</v>
      </c>
      <c r="L328" s="258">
        <f>SUBTOTAL(9,H328:K328)</f>
        <v>25</v>
      </c>
      <c r="M328" s="258" t="s">
        <v>6</v>
      </c>
      <c r="N328" s="258" t="s">
        <v>12</v>
      </c>
      <c r="O328" s="258" t="s">
        <v>962</v>
      </c>
    </row>
    <row r="329" spans="1:15" s="278" customFormat="1" ht="87" customHeight="1" thickBot="1" x14ac:dyDescent="0.35">
      <c r="A329" s="287"/>
      <c r="B329" s="308" t="s">
        <v>331</v>
      </c>
      <c r="C329" s="308" t="s">
        <v>904</v>
      </c>
      <c r="D329" s="308" t="s">
        <v>1029</v>
      </c>
      <c r="E329" s="308" t="s">
        <v>4</v>
      </c>
      <c r="F329" s="309">
        <v>45601</v>
      </c>
      <c r="G329" s="308" t="s">
        <v>5</v>
      </c>
      <c r="H329" s="308">
        <v>3</v>
      </c>
      <c r="I329" s="308">
        <v>14</v>
      </c>
      <c r="J329" s="308">
        <v>29</v>
      </c>
      <c r="K329" s="308">
        <v>0</v>
      </c>
      <c r="L329" s="308">
        <f>SUM(H329:K329)</f>
        <v>46</v>
      </c>
      <c r="M329" s="308" t="s">
        <v>6</v>
      </c>
      <c r="N329" s="308" t="s">
        <v>12</v>
      </c>
      <c r="O329" s="308" t="s">
        <v>905</v>
      </c>
    </row>
    <row r="330" spans="1:15" ht="48.6" thickBot="1" x14ac:dyDescent="0.35">
      <c r="A330" s="183"/>
      <c r="B330" s="282" t="s">
        <v>32</v>
      </c>
      <c r="C330" s="282" t="s">
        <v>671</v>
      </c>
      <c r="D330" s="282" t="s">
        <v>1029</v>
      </c>
      <c r="E330" s="282" t="s">
        <v>4</v>
      </c>
      <c r="F330" s="293">
        <v>45601</v>
      </c>
      <c r="G330" s="282" t="s">
        <v>5</v>
      </c>
      <c r="H330" s="282">
        <v>4</v>
      </c>
      <c r="I330" s="282">
        <v>37</v>
      </c>
      <c r="J330" s="282">
        <v>54</v>
      </c>
      <c r="K330" s="282">
        <v>0</v>
      </c>
      <c r="L330" s="282">
        <f>SUM(H330:K330)</f>
        <v>95</v>
      </c>
      <c r="M330" s="282" t="s">
        <v>6</v>
      </c>
      <c r="N330" s="282" t="s">
        <v>34</v>
      </c>
      <c r="O330" s="282" t="s">
        <v>894</v>
      </c>
    </row>
    <row r="331" spans="1:15" ht="144" x14ac:dyDescent="0.3">
      <c r="A331" s="287"/>
      <c r="B331" s="305" t="s">
        <v>60</v>
      </c>
      <c r="C331" s="305" t="s">
        <v>673</v>
      </c>
      <c r="D331" s="305" t="s">
        <v>1029</v>
      </c>
      <c r="E331" s="305" t="s">
        <v>4</v>
      </c>
      <c r="F331" s="307">
        <v>45602</v>
      </c>
      <c r="G331" s="305" t="s">
        <v>5</v>
      </c>
      <c r="H331" s="305">
        <v>18</v>
      </c>
      <c r="I331" s="305">
        <v>0</v>
      </c>
      <c r="J331" s="305">
        <v>97</v>
      </c>
      <c r="K331" s="305">
        <v>0</v>
      </c>
      <c r="L331" s="305">
        <f>SUM(H331:K331)</f>
        <v>115</v>
      </c>
      <c r="M331" s="305" t="s">
        <v>6</v>
      </c>
      <c r="N331" s="305" t="s">
        <v>12</v>
      </c>
      <c r="O331" s="305" t="s">
        <v>672</v>
      </c>
    </row>
    <row r="332" spans="1:15" s="278" customFormat="1" ht="96" x14ac:dyDescent="0.3">
      <c r="A332" s="287"/>
      <c r="B332" s="258" t="s">
        <v>365</v>
      </c>
      <c r="C332" s="258" t="s">
        <v>947</v>
      </c>
      <c r="D332" s="258" t="s">
        <v>1029</v>
      </c>
      <c r="E332" s="258" t="s">
        <v>4</v>
      </c>
      <c r="F332" s="210">
        <v>45603</v>
      </c>
      <c r="G332" s="258" t="s">
        <v>5</v>
      </c>
      <c r="H332" s="258"/>
      <c r="I332" s="258"/>
      <c r="J332" s="258"/>
      <c r="K332" s="258"/>
      <c r="L332" s="258"/>
      <c r="M332" s="258" t="s">
        <v>939</v>
      </c>
      <c r="N332" s="258" t="s">
        <v>12</v>
      </c>
      <c r="O332" s="258" t="s">
        <v>948</v>
      </c>
    </row>
    <row r="333" spans="1:15" s="257" customFormat="1" ht="96" x14ac:dyDescent="0.3">
      <c r="A333" s="287"/>
      <c r="B333" s="258" t="s">
        <v>175</v>
      </c>
      <c r="C333" s="258" t="s">
        <v>595</v>
      </c>
      <c r="D333" s="258" t="s">
        <v>1029</v>
      </c>
      <c r="E333" s="258" t="s">
        <v>4</v>
      </c>
      <c r="F333" s="210">
        <v>45604</v>
      </c>
      <c r="G333" s="258" t="s">
        <v>601</v>
      </c>
      <c r="H333" s="258">
        <v>0</v>
      </c>
      <c r="I333" s="258">
        <v>2</v>
      </c>
      <c r="J333" s="258">
        <v>18</v>
      </c>
      <c r="K333" s="258">
        <v>3</v>
      </c>
      <c r="L333" s="258">
        <f>SUBTOTAL(9,H333:K333)</f>
        <v>23</v>
      </c>
      <c r="M333" s="258" t="s">
        <v>7</v>
      </c>
      <c r="N333" s="258" t="s">
        <v>12</v>
      </c>
      <c r="O333" s="258" t="s">
        <v>805</v>
      </c>
    </row>
    <row r="334" spans="1:15" ht="143.25" customHeight="1" x14ac:dyDescent="0.3">
      <c r="A334" s="287"/>
      <c r="B334" s="258" t="s">
        <v>60</v>
      </c>
      <c r="C334" s="258" t="s">
        <v>969</v>
      </c>
      <c r="D334" s="258" t="s">
        <v>29</v>
      </c>
      <c r="E334" s="258" t="s">
        <v>4</v>
      </c>
      <c r="F334" s="210">
        <v>45604</v>
      </c>
      <c r="G334" s="258" t="s">
        <v>490</v>
      </c>
      <c r="H334" s="258">
        <v>6</v>
      </c>
      <c r="I334" s="258">
        <v>14</v>
      </c>
      <c r="J334" s="258">
        <v>43</v>
      </c>
      <c r="K334" s="258">
        <v>0</v>
      </c>
      <c r="L334" s="258">
        <v>63</v>
      </c>
      <c r="M334" s="258" t="s">
        <v>635</v>
      </c>
      <c r="N334" s="258" t="s">
        <v>12</v>
      </c>
      <c r="O334" s="258" t="s">
        <v>726</v>
      </c>
    </row>
    <row r="335" spans="1:15" s="278" customFormat="1" ht="143.25" customHeight="1" x14ac:dyDescent="0.3">
      <c r="A335" s="337"/>
      <c r="B335" s="258" t="s">
        <v>365</v>
      </c>
      <c r="C335" s="258" t="s">
        <v>944</v>
      </c>
      <c r="D335" s="258" t="s">
        <v>280</v>
      </c>
      <c r="E335" s="258" t="s">
        <v>4</v>
      </c>
      <c r="F335" s="210" t="s">
        <v>945</v>
      </c>
      <c r="G335" s="338" t="s">
        <v>396</v>
      </c>
      <c r="H335" s="258">
        <v>9</v>
      </c>
      <c r="I335" s="258">
        <v>0</v>
      </c>
      <c r="J335" s="258">
        <v>100</v>
      </c>
      <c r="K335" s="258">
        <v>0</v>
      </c>
      <c r="L335" s="258">
        <f>SUM(H335:K335)</f>
        <v>109</v>
      </c>
      <c r="M335" s="258" t="s">
        <v>6</v>
      </c>
      <c r="N335" s="258" t="s">
        <v>12</v>
      </c>
      <c r="O335" s="258" t="s">
        <v>946</v>
      </c>
    </row>
    <row r="336" spans="1:15" ht="108" x14ac:dyDescent="0.3">
      <c r="A336" s="287"/>
      <c r="B336" s="258" t="s">
        <v>60</v>
      </c>
      <c r="C336" s="258" t="s">
        <v>675</v>
      </c>
      <c r="D336" s="258" t="s">
        <v>29</v>
      </c>
      <c r="E336" s="258" t="s">
        <v>4</v>
      </c>
      <c r="F336" s="210">
        <v>45608</v>
      </c>
      <c r="G336" s="258" t="s">
        <v>676</v>
      </c>
      <c r="H336" s="258">
        <v>7</v>
      </c>
      <c r="I336" s="258">
        <v>58</v>
      </c>
      <c r="J336" s="258">
        <v>115</v>
      </c>
      <c r="K336" s="258">
        <v>0</v>
      </c>
      <c r="L336" s="258">
        <v>180</v>
      </c>
      <c r="M336" s="258" t="s">
        <v>635</v>
      </c>
      <c r="N336" s="258" t="s">
        <v>12</v>
      </c>
      <c r="O336" s="258" t="s">
        <v>677</v>
      </c>
    </row>
    <row r="337" spans="1:15" s="254" customFormat="1" ht="84.6" thickBot="1" x14ac:dyDescent="0.35">
      <c r="A337" s="287"/>
      <c r="B337" s="308" t="s">
        <v>2</v>
      </c>
      <c r="C337" s="308" t="s">
        <v>769</v>
      </c>
      <c r="D337" s="308" t="s">
        <v>1029</v>
      </c>
      <c r="E337" s="308" t="s">
        <v>4</v>
      </c>
      <c r="F337" s="309">
        <v>45609</v>
      </c>
      <c r="G337" s="308" t="s">
        <v>770</v>
      </c>
      <c r="H337" s="308">
        <v>0</v>
      </c>
      <c r="I337" s="308">
        <v>0</v>
      </c>
      <c r="J337" s="308">
        <v>45</v>
      </c>
      <c r="K337" s="308">
        <v>0</v>
      </c>
      <c r="L337" s="308">
        <v>45</v>
      </c>
      <c r="M337" s="308" t="s">
        <v>108</v>
      </c>
      <c r="N337" s="308" t="s">
        <v>12</v>
      </c>
      <c r="O337" s="308" t="s">
        <v>771</v>
      </c>
    </row>
    <row r="338" spans="1:15" s="257" customFormat="1" ht="48.6" thickBot="1" x14ac:dyDescent="0.35">
      <c r="A338" s="208"/>
      <c r="B338" s="282" t="s">
        <v>32</v>
      </c>
      <c r="C338" s="282" t="s">
        <v>780</v>
      </c>
      <c r="D338" s="282" t="s">
        <v>1029</v>
      </c>
      <c r="E338" s="282" t="s">
        <v>4</v>
      </c>
      <c r="F338" s="297">
        <v>45609</v>
      </c>
      <c r="G338" s="298" t="s">
        <v>781</v>
      </c>
      <c r="H338" s="282">
        <v>0</v>
      </c>
      <c r="I338" s="282">
        <v>12</v>
      </c>
      <c r="J338" s="282">
        <v>38</v>
      </c>
      <c r="K338" s="282">
        <v>0</v>
      </c>
      <c r="L338" s="282">
        <v>50</v>
      </c>
      <c r="M338" s="282" t="s">
        <v>782</v>
      </c>
      <c r="N338" s="282" t="s">
        <v>34</v>
      </c>
      <c r="O338" s="282" t="s">
        <v>783</v>
      </c>
    </row>
    <row r="339" spans="1:15" s="257" customFormat="1" ht="48" x14ac:dyDescent="0.3">
      <c r="A339" s="287"/>
      <c r="B339" s="305" t="s">
        <v>2</v>
      </c>
      <c r="C339" s="305" t="s">
        <v>784</v>
      </c>
      <c r="D339" s="305" t="s">
        <v>1029</v>
      </c>
      <c r="E339" s="305" t="s">
        <v>16</v>
      </c>
      <c r="F339" s="315">
        <v>45610</v>
      </c>
      <c r="G339" s="316" t="s">
        <v>240</v>
      </c>
      <c r="H339" s="305">
        <v>0</v>
      </c>
      <c r="I339" s="305">
        <v>0</v>
      </c>
      <c r="J339" s="305">
        <v>0</v>
      </c>
      <c r="K339" s="305">
        <v>0</v>
      </c>
      <c r="L339" s="305">
        <v>0</v>
      </c>
      <c r="M339" s="305" t="s">
        <v>608</v>
      </c>
      <c r="N339" s="305" t="s">
        <v>12</v>
      </c>
      <c r="O339" s="305" t="s">
        <v>785</v>
      </c>
    </row>
    <row r="340" spans="1:15" s="264" customFormat="1" ht="72" x14ac:dyDescent="0.3">
      <c r="A340" s="287"/>
      <c r="B340" s="242" t="s">
        <v>2</v>
      </c>
      <c r="C340" s="258" t="s">
        <v>892</v>
      </c>
      <c r="D340" s="258" t="s">
        <v>1029</v>
      </c>
      <c r="E340" s="258" t="s">
        <v>16</v>
      </c>
      <c r="F340" s="259">
        <v>45611</v>
      </c>
      <c r="G340" s="258" t="s">
        <v>5</v>
      </c>
      <c r="H340" s="258">
        <v>29</v>
      </c>
      <c r="I340" s="258">
        <v>168</v>
      </c>
      <c r="J340" s="258">
        <v>297</v>
      </c>
      <c r="K340" s="258">
        <v>50</v>
      </c>
      <c r="L340" s="258">
        <f>SUM(H340:K340)</f>
        <v>544</v>
      </c>
      <c r="M340" s="258" t="s">
        <v>6</v>
      </c>
      <c r="N340" s="258" t="s">
        <v>12</v>
      </c>
      <c r="O340" s="258" t="s">
        <v>893</v>
      </c>
    </row>
    <row r="341" spans="1:15" s="250" customFormat="1" ht="36" x14ac:dyDescent="0.3">
      <c r="A341" s="287"/>
      <c r="B341" s="258" t="s">
        <v>2</v>
      </c>
      <c r="C341" s="258" t="s">
        <v>689</v>
      </c>
      <c r="D341" s="258" t="s">
        <v>1028</v>
      </c>
      <c r="E341" s="258" t="s">
        <v>15</v>
      </c>
      <c r="F341" s="210">
        <v>45614</v>
      </c>
      <c r="G341" s="258" t="s">
        <v>5</v>
      </c>
      <c r="H341" s="258">
        <v>0</v>
      </c>
      <c r="I341" s="258">
        <v>0</v>
      </c>
      <c r="J341" s="258">
        <v>10</v>
      </c>
      <c r="K341" s="258">
        <v>0</v>
      </c>
      <c r="L341" s="258">
        <v>10</v>
      </c>
      <c r="M341" s="258" t="s">
        <v>623</v>
      </c>
      <c r="N341" s="258" t="s">
        <v>205</v>
      </c>
      <c r="O341" s="258" t="s">
        <v>702</v>
      </c>
    </row>
    <row r="342" spans="1:15" s="257" customFormat="1" ht="108.6" thickBot="1" x14ac:dyDescent="0.35">
      <c r="A342" s="287"/>
      <c r="B342" s="317" t="s">
        <v>175</v>
      </c>
      <c r="C342" s="317" t="s">
        <v>778</v>
      </c>
      <c r="D342" s="317" t="s">
        <v>1029</v>
      </c>
      <c r="E342" s="317" t="s">
        <v>4</v>
      </c>
      <c r="F342" s="318">
        <v>45614</v>
      </c>
      <c r="G342" s="317" t="s">
        <v>5</v>
      </c>
      <c r="H342" s="347">
        <v>0</v>
      </c>
      <c r="I342" s="347">
        <v>0</v>
      </c>
      <c r="J342" s="347">
        <v>37</v>
      </c>
      <c r="K342" s="347">
        <v>0</v>
      </c>
      <c r="L342" s="347">
        <v>37</v>
      </c>
      <c r="M342" s="317" t="s">
        <v>539</v>
      </c>
      <c r="N342" s="317" t="s">
        <v>12</v>
      </c>
      <c r="O342" s="308" t="s">
        <v>779</v>
      </c>
    </row>
    <row r="343" spans="1:15" ht="60.6" thickBot="1" x14ac:dyDescent="0.35">
      <c r="A343" s="183"/>
      <c r="B343" s="282" t="s">
        <v>678</v>
      </c>
      <c r="C343" s="282" t="s">
        <v>679</v>
      </c>
      <c r="D343" s="282" t="s">
        <v>1028</v>
      </c>
      <c r="E343" s="282" t="s">
        <v>15</v>
      </c>
      <c r="F343" s="293">
        <v>45615</v>
      </c>
      <c r="G343" s="282" t="s">
        <v>680</v>
      </c>
      <c r="H343" s="282">
        <v>2</v>
      </c>
      <c r="I343" s="282">
        <v>45</v>
      </c>
      <c r="J343" s="282">
        <v>0</v>
      </c>
      <c r="K343" s="282">
        <v>0</v>
      </c>
      <c r="L343" s="282">
        <v>47</v>
      </c>
      <c r="M343" s="282" t="s">
        <v>635</v>
      </c>
      <c r="N343" s="282" t="s">
        <v>34</v>
      </c>
      <c r="O343" s="282" t="s">
        <v>728</v>
      </c>
    </row>
    <row r="344" spans="1:15" s="264" customFormat="1" ht="84" x14ac:dyDescent="0.3">
      <c r="A344" s="287"/>
      <c r="B344" s="305" t="s">
        <v>2</v>
      </c>
      <c r="C344" s="305" t="s">
        <v>830</v>
      </c>
      <c r="D344" s="319" t="s">
        <v>1029</v>
      </c>
      <c r="E344" s="305" t="s">
        <v>4</v>
      </c>
      <c r="F344" s="307">
        <v>45616</v>
      </c>
      <c r="G344" s="305" t="s">
        <v>601</v>
      </c>
      <c r="H344" s="305">
        <v>0</v>
      </c>
      <c r="I344" s="305">
        <v>4</v>
      </c>
      <c r="J344" s="305">
        <v>15</v>
      </c>
      <c r="K344" s="305">
        <v>7</v>
      </c>
      <c r="L344" s="305">
        <v>19</v>
      </c>
      <c r="M344" s="305" t="s">
        <v>7</v>
      </c>
      <c r="N344" s="319" t="s">
        <v>12</v>
      </c>
      <c r="O344" s="305" t="s">
        <v>891</v>
      </c>
    </row>
    <row r="345" spans="1:15" s="264" customFormat="1" ht="72" x14ac:dyDescent="0.3">
      <c r="A345" s="287"/>
      <c r="B345" s="242" t="s">
        <v>2</v>
      </c>
      <c r="C345" s="258" t="s">
        <v>890</v>
      </c>
      <c r="D345" s="258" t="s">
        <v>1028</v>
      </c>
      <c r="E345" s="258" t="s">
        <v>15</v>
      </c>
      <c r="F345" s="210">
        <v>45616</v>
      </c>
      <c r="G345" s="258" t="s">
        <v>601</v>
      </c>
      <c r="H345" s="258">
        <v>9</v>
      </c>
      <c r="I345" s="258">
        <v>0</v>
      </c>
      <c r="J345" s="258">
        <v>211</v>
      </c>
      <c r="K345" s="258">
        <v>0</v>
      </c>
      <c r="L345" s="258">
        <f>SUM(H345:K345)</f>
        <v>220</v>
      </c>
      <c r="M345" s="258" t="s">
        <v>888</v>
      </c>
      <c r="N345" s="258" t="s">
        <v>12</v>
      </c>
      <c r="O345" s="258" t="s">
        <v>889</v>
      </c>
    </row>
    <row r="346" spans="1:15" ht="108" x14ac:dyDescent="0.3">
      <c r="A346" s="287"/>
      <c r="B346" s="258" t="s">
        <v>678</v>
      </c>
      <c r="C346" s="258" t="s">
        <v>681</v>
      </c>
      <c r="D346" s="258" t="s">
        <v>1028</v>
      </c>
      <c r="E346" s="258" t="s">
        <v>15</v>
      </c>
      <c r="F346" s="210">
        <v>45617</v>
      </c>
      <c r="G346" s="258" t="s">
        <v>601</v>
      </c>
      <c r="H346" s="258">
        <v>2</v>
      </c>
      <c r="I346" s="258">
        <v>0</v>
      </c>
      <c r="J346" s="258">
        <v>35</v>
      </c>
      <c r="K346" s="258">
        <v>17</v>
      </c>
      <c r="L346" s="258">
        <v>37</v>
      </c>
      <c r="M346" s="258" t="s">
        <v>635</v>
      </c>
      <c r="N346" s="258" t="s">
        <v>12</v>
      </c>
      <c r="O346" s="258" t="s">
        <v>682</v>
      </c>
    </row>
    <row r="347" spans="1:15" ht="84" x14ac:dyDescent="0.3">
      <c r="A347" s="287"/>
      <c r="B347" s="258" t="s">
        <v>683</v>
      </c>
      <c r="C347" s="258" t="s">
        <v>727</v>
      </c>
      <c r="D347" s="258" t="s">
        <v>1028</v>
      </c>
      <c r="E347" s="258" t="s">
        <v>15</v>
      </c>
      <c r="F347" s="210">
        <v>45617</v>
      </c>
      <c r="G347" s="258" t="s">
        <v>601</v>
      </c>
      <c r="H347" s="258">
        <v>2</v>
      </c>
      <c r="I347" s="258">
        <v>0</v>
      </c>
      <c r="J347" s="258">
        <v>25</v>
      </c>
      <c r="K347" s="258">
        <v>0</v>
      </c>
      <c r="L347" s="258">
        <v>27</v>
      </c>
      <c r="M347" s="258" t="s">
        <v>635</v>
      </c>
      <c r="N347" s="258" t="s">
        <v>12</v>
      </c>
      <c r="O347" s="258" t="s">
        <v>684</v>
      </c>
    </row>
    <row r="348" spans="1:15" s="250" customFormat="1" ht="60" x14ac:dyDescent="0.3">
      <c r="A348" s="287"/>
      <c r="B348" s="258" t="s">
        <v>3</v>
      </c>
      <c r="C348" s="258" t="s">
        <v>732</v>
      </c>
      <c r="D348" s="258" t="s">
        <v>1028</v>
      </c>
      <c r="E348" s="258" t="s">
        <v>15</v>
      </c>
      <c r="F348" s="210">
        <v>45617</v>
      </c>
      <c r="G348" s="258" t="s">
        <v>225</v>
      </c>
      <c r="H348" s="258">
        <v>0</v>
      </c>
      <c r="I348" s="258">
        <v>40</v>
      </c>
      <c r="J348" s="258">
        <v>100</v>
      </c>
      <c r="K348" s="258">
        <v>10</v>
      </c>
      <c r="L348" s="258">
        <v>150</v>
      </c>
      <c r="M348" s="258" t="s">
        <v>134</v>
      </c>
      <c r="N348" s="258" t="s">
        <v>12</v>
      </c>
      <c r="O348" s="258" t="s">
        <v>733</v>
      </c>
    </row>
    <row r="349" spans="1:15" s="252" customFormat="1" ht="84" x14ac:dyDescent="0.3">
      <c r="A349" s="287"/>
      <c r="B349" s="258" t="s">
        <v>227</v>
      </c>
      <c r="C349" s="258" t="s">
        <v>734</v>
      </c>
      <c r="D349" s="258" t="s">
        <v>1028</v>
      </c>
      <c r="E349" s="258" t="s">
        <v>15</v>
      </c>
      <c r="F349" s="210">
        <v>45617</v>
      </c>
      <c r="G349" s="258" t="s">
        <v>225</v>
      </c>
      <c r="H349" s="258">
        <v>20</v>
      </c>
      <c r="I349" s="258">
        <v>10</v>
      </c>
      <c r="J349" s="258">
        <v>5</v>
      </c>
      <c r="K349" s="258">
        <v>5</v>
      </c>
      <c r="L349" s="258">
        <v>40</v>
      </c>
      <c r="M349" s="258" t="s">
        <v>134</v>
      </c>
      <c r="N349" s="258" t="s">
        <v>12</v>
      </c>
      <c r="O349" s="258" t="s">
        <v>735</v>
      </c>
    </row>
    <row r="350" spans="1:15" ht="72" x14ac:dyDescent="0.3">
      <c r="A350" s="287"/>
      <c r="B350" s="258" t="s">
        <v>60</v>
      </c>
      <c r="C350" s="258" t="s">
        <v>729</v>
      </c>
      <c r="D350" s="258" t="s">
        <v>1028</v>
      </c>
      <c r="E350" s="258" t="s">
        <v>15</v>
      </c>
      <c r="F350" s="210">
        <v>45618</v>
      </c>
      <c r="G350" s="258" t="s">
        <v>601</v>
      </c>
      <c r="H350" s="258">
        <v>0</v>
      </c>
      <c r="I350" s="258">
        <v>0</v>
      </c>
      <c r="J350" s="258">
        <v>23</v>
      </c>
      <c r="K350" s="258">
        <v>0</v>
      </c>
      <c r="L350" s="258">
        <v>23</v>
      </c>
      <c r="M350" s="258" t="s">
        <v>635</v>
      </c>
      <c r="N350" s="258" t="s">
        <v>12</v>
      </c>
      <c r="O350" s="258" t="s">
        <v>730</v>
      </c>
    </row>
    <row r="351" spans="1:15" s="257" customFormat="1" ht="96" x14ac:dyDescent="0.3">
      <c r="A351" s="287"/>
      <c r="B351" s="258" t="s">
        <v>175</v>
      </c>
      <c r="C351" s="258" t="s">
        <v>831</v>
      </c>
      <c r="D351" s="240" t="s">
        <v>1029</v>
      </c>
      <c r="E351" s="258" t="s">
        <v>4</v>
      </c>
      <c r="F351" s="210">
        <v>45618</v>
      </c>
      <c r="G351" s="258" t="s">
        <v>601</v>
      </c>
      <c r="H351" s="258">
        <v>0</v>
      </c>
      <c r="I351" s="258">
        <v>3</v>
      </c>
      <c r="J351" s="258">
        <v>19</v>
      </c>
      <c r="K351" s="258">
        <v>7</v>
      </c>
      <c r="L351" s="258">
        <f>SUBTOTAL(9,H351:K351)</f>
        <v>29</v>
      </c>
      <c r="M351" s="258" t="s">
        <v>7</v>
      </c>
      <c r="N351" s="240" t="s">
        <v>12</v>
      </c>
      <c r="O351" s="258" t="s">
        <v>833</v>
      </c>
    </row>
    <row r="352" spans="1:15" s="257" customFormat="1" ht="36" x14ac:dyDescent="0.3">
      <c r="A352" s="287"/>
      <c r="B352" s="258" t="s">
        <v>2</v>
      </c>
      <c r="C352" s="258" t="s">
        <v>786</v>
      </c>
      <c r="D352" s="258" t="s">
        <v>1028</v>
      </c>
      <c r="E352" s="258" t="s">
        <v>16</v>
      </c>
      <c r="F352" s="210">
        <v>45618</v>
      </c>
      <c r="G352" s="258" t="s">
        <v>240</v>
      </c>
      <c r="H352" s="258">
        <v>0</v>
      </c>
      <c r="I352" s="258">
        <v>0</v>
      </c>
      <c r="J352" s="258">
        <v>0</v>
      </c>
      <c r="K352" s="258">
        <v>0</v>
      </c>
      <c r="L352" s="258">
        <v>0</v>
      </c>
      <c r="M352" s="258" t="s">
        <v>608</v>
      </c>
      <c r="N352" s="258" t="s">
        <v>12</v>
      </c>
      <c r="O352" s="258" t="s">
        <v>787</v>
      </c>
    </row>
    <row r="353" spans="1:15" s="250" customFormat="1" ht="120" customHeight="1" x14ac:dyDescent="0.3">
      <c r="A353" s="287"/>
      <c r="B353" s="258" t="s">
        <v>2</v>
      </c>
      <c r="C353" s="258" t="s">
        <v>693</v>
      </c>
      <c r="D353" s="258" t="s">
        <v>1028</v>
      </c>
      <c r="E353" s="258" t="s">
        <v>15</v>
      </c>
      <c r="F353" s="210">
        <v>45619</v>
      </c>
      <c r="G353" s="258" t="s">
        <v>5</v>
      </c>
      <c r="H353" s="258">
        <v>0</v>
      </c>
      <c r="I353" s="258">
        <v>3</v>
      </c>
      <c r="J353" s="258">
        <v>14</v>
      </c>
      <c r="K353" s="258">
        <v>1</v>
      </c>
      <c r="L353" s="258">
        <f>SUBTOTAL(9,H353:K353)</f>
        <v>18</v>
      </c>
      <c r="M353" s="258" t="s">
        <v>11</v>
      </c>
      <c r="N353" s="258" t="s">
        <v>12</v>
      </c>
      <c r="O353" s="258" t="s">
        <v>762</v>
      </c>
    </row>
    <row r="354" spans="1:15" ht="96" x14ac:dyDescent="0.3">
      <c r="A354" s="287"/>
      <c r="B354" s="258" t="s">
        <v>60</v>
      </c>
      <c r="C354" s="258" t="s">
        <v>685</v>
      </c>
      <c r="D354" s="258" t="s">
        <v>1028</v>
      </c>
      <c r="E354" s="258" t="s">
        <v>15</v>
      </c>
      <c r="F354" s="210">
        <v>45621</v>
      </c>
      <c r="G354" s="258" t="s">
        <v>676</v>
      </c>
      <c r="H354" s="258">
        <v>2</v>
      </c>
      <c r="I354" s="258">
        <v>0</v>
      </c>
      <c r="J354" s="258">
        <v>25</v>
      </c>
      <c r="K354" s="258">
        <v>0</v>
      </c>
      <c r="L354" s="258">
        <v>25</v>
      </c>
      <c r="M354" s="258" t="s">
        <v>635</v>
      </c>
      <c r="N354" s="258" t="s">
        <v>12</v>
      </c>
      <c r="O354" s="258" t="s">
        <v>731</v>
      </c>
    </row>
    <row r="355" spans="1:15" s="264" customFormat="1" ht="72.599999999999994" thickBot="1" x14ac:dyDescent="0.35">
      <c r="A355" s="287"/>
      <c r="B355" s="308" t="s">
        <v>2</v>
      </c>
      <c r="C355" s="308" t="s">
        <v>690</v>
      </c>
      <c r="D355" s="308" t="s">
        <v>1028</v>
      </c>
      <c r="E355" s="308" t="s">
        <v>4</v>
      </c>
      <c r="F355" s="309">
        <v>45621</v>
      </c>
      <c r="G355" s="308" t="s">
        <v>5</v>
      </c>
      <c r="H355" s="308">
        <v>9</v>
      </c>
      <c r="I355" s="308">
        <v>0</v>
      </c>
      <c r="J355" s="308">
        <v>179</v>
      </c>
      <c r="K355" s="308">
        <v>0</v>
      </c>
      <c r="L355" s="308">
        <f>SUM(H355:K355)</f>
        <v>188</v>
      </c>
      <c r="M355" s="308" t="s">
        <v>887</v>
      </c>
      <c r="N355" s="308" t="s">
        <v>12</v>
      </c>
      <c r="O355" s="308" t="s">
        <v>886</v>
      </c>
    </row>
    <row r="356" spans="1:15" s="250" customFormat="1" ht="72.599999999999994" thickBot="1" x14ac:dyDescent="0.35">
      <c r="A356" s="208"/>
      <c r="B356" s="282" t="s">
        <v>2</v>
      </c>
      <c r="C356" s="282" t="s">
        <v>690</v>
      </c>
      <c r="D356" s="282" t="s">
        <v>1028</v>
      </c>
      <c r="E356" s="282" t="s">
        <v>4</v>
      </c>
      <c r="F356" s="293">
        <v>45621</v>
      </c>
      <c r="G356" s="282" t="s">
        <v>5</v>
      </c>
      <c r="H356" s="282">
        <v>0</v>
      </c>
      <c r="I356" s="282">
        <v>0</v>
      </c>
      <c r="J356" s="282">
        <v>8</v>
      </c>
      <c r="K356" s="282">
        <v>0</v>
      </c>
      <c r="L356" s="282">
        <v>8</v>
      </c>
      <c r="M356" s="282" t="s">
        <v>623</v>
      </c>
      <c r="N356" s="282" t="s">
        <v>34</v>
      </c>
      <c r="O356" s="282" t="s">
        <v>703</v>
      </c>
    </row>
    <row r="357" spans="1:15" s="250" customFormat="1" ht="72" x14ac:dyDescent="0.3">
      <c r="A357" s="287"/>
      <c r="B357" s="305" t="s">
        <v>2</v>
      </c>
      <c r="C357" s="305" t="s">
        <v>705</v>
      </c>
      <c r="D357" s="305" t="s">
        <v>1028</v>
      </c>
      <c r="E357" s="305" t="s">
        <v>4</v>
      </c>
      <c r="F357" s="307">
        <v>45621</v>
      </c>
      <c r="G357" s="305" t="s">
        <v>5</v>
      </c>
      <c r="H357" s="305">
        <v>0</v>
      </c>
      <c r="I357" s="305">
        <v>4</v>
      </c>
      <c r="J357" s="305">
        <v>9</v>
      </c>
      <c r="K357" s="305">
        <v>0</v>
      </c>
      <c r="L357" s="305">
        <f>SUBTOTAL(9,H357:K357)</f>
        <v>13</v>
      </c>
      <c r="M357" s="305" t="s">
        <v>11</v>
      </c>
      <c r="N357" s="305" t="s">
        <v>12</v>
      </c>
      <c r="O357" s="305" t="s">
        <v>763</v>
      </c>
    </row>
    <row r="358" spans="1:15" s="255" customFormat="1" ht="123.75" customHeight="1" x14ac:dyDescent="0.3">
      <c r="A358" s="287"/>
      <c r="B358" s="258" t="s">
        <v>2</v>
      </c>
      <c r="C358" s="258" t="s">
        <v>776</v>
      </c>
      <c r="D358" s="258" t="s">
        <v>1029</v>
      </c>
      <c r="E358" s="258" t="s">
        <v>4</v>
      </c>
      <c r="F358" s="210">
        <v>45621</v>
      </c>
      <c r="G358" s="258" t="s">
        <v>5</v>
      </c>
      <c r="H358" s="258">
        <v>0</v>
      </c>
      <c r="I358" s="258">
        <v>4</v>
      </c>
      <c r="J358" s="258">
        <v>66</v>
      </c>
      <c r="K358" s="258">
        <v>0</v>
      </c>
      <c r="L358" s="258">
        <v>70</v>
      </c>
      <c r="M358" s="258" t="s">
        <v>539</v>
      </c>
      <c r="N358" s="258" t="s">
        <v>12</v>
      </c>
      <c r="O358" s="258" t="s">
        <v>777</v>
      </c>
    </row>
    <row r="359" spans="1:15" s="264" customFormat="1" ht="60" x14ac:dyDescent="0.3">
      <c r="A359" s="287"/>
      <c r="B359" s="258" t="s">
        <v>2</v>
      </c>
      <c r="C359" s="258" t="s">
        <v>883</v>
      </c>
      <c r="D359" s="258" t="s">
        <v>1029</v>
      </c>
      <c r="E359" s="258" t="s">
        <v>4</v>
      </c>
      <c r="F359" s="210">
        <v>45622</v>
      </c>
      <c r="G359" s="258" t="s">
        <v>5</v>
      </c>
      <c r="H359" s="258">
        <v>11</v>
      </c>
      <c r="I359" s="258">
        <v>0</v>
      </c>
      <c r="J359" s="258">
        <v>258</v>
      </c>
      <c r="K359" s="258">
        <v>0</v>
      </c>
      <c r="L359" s="258">
        <f>SUM(H359:K359)</f>
        <v>269</v>
      </c>
      <c r="M359" s="258" t="s">
        <v>577</v>
      </c>
      <c r="N359" s="258" t="s">
        <v>12</v>
      </c>
      <c r="O359" s="258" t="s">
        <v>885</v>
      </c>
    </row>
    <row r="360" spans="1:15" ht="153" customHeight="1" x14ac:dyDescent="0.3">
      <c r="A360" s="287"/>
      <c r="B360" s="258" t="s">
        <v>678</v>
      </c>
      <c r="C360" s="258" t="s">
        <v>686</v>
      </c>
      <c r="D360" s="258" t="s">
        <v>1028</v>
      </c>
      <c r="E360" s="258" t="s">
        <v>4</v>
      </c>
      <c r="F360" s="210">
        <v>45623</v>
      </c>
      <c r="G360" s="258" t="s">
        <v>676</v>
      </c>
      <c r="H360" s="258">
        <v>0</v>
      </c>
      <c r="I360" s="258">
        <v>0</v>
      </c>
      <c r="J360" s="258">
        <v>42</v>
      </c>
      <c r="K360" s="258">
        <v>0</v>
      </c>
      <c r="L360" s="258">
        <v>42</v>
      </c>
      <c r="M360" s="258" t="s">
        <v>635</v>
      </c>
      <c r="N360" s="258" t="s">
        <v>12</v>
      </c>
      <c r="O360" s="258" t="s">
        <v>687</v>
      </c>
    </row>
    <row r="361" spans="1:15" s="250" customFormat="1" ht="60" customHeight="1" thickBot="1" x14ac:dyDescent="0.35">
      <c r="A361" s="287"/>
      <c r="B361" s="308" t="s">
        <v>2</v>
      </c>
      <c r="C361" s="308" t="s">
        <v>691</v>
      </c>
      <c r="D361" s="308" t="s">
        <v>1028</v>
      </c>
      <c r="E361" s="308" t="s">
        <v>4</v>
      </c>
      <c r="F361" s="309">
        <v>45623</v>
      </c>
      <c r="G361" s="308" t="s">
        <v>5</v>
      </c>
      <c r="H361" s="308">
        <v>9</v>
      </c>
      <c r="I361" s="308">
        <v>0</v>
      </c>
      <c r="J361" s="308">
        <v>243</v>
      </c>
      <c r="K361" s="308">
        <v>0</v>
      </c>
      <c r="L361" s="308">
        <f>SUM(H361:K361)</f>
        <v>252</v>
      </c>
      <c r="M361" s="308" t="s">
        <v>569</v>
      </c>
      <c r="N361" s="308" t="s">
        <v>12</v>
      </c>
      <c r="O361" s="308" t="s">
        <v>884</v>
      </c>
    </row>
    <row r="362" spans="1:15" s="264" customFormat="1" ht="60" customHeight="1" thickBot="1" x14ac:dyDescent="0.35">
      <c r="A362" s="208"/>
      <c r="B362" s="282" t="s">
        <v>2</v>
      </c>
      <c r="C362" s="282" t="s">
        <v>691</v>
      </c>
      <c r="D362" s="282" t="s">
        <v>1028</v>
      </c>
      <c r="E362" s="282" t="s">
        <v>4</v>
      </c>
      <c r="F362" s="293">
        <v>45623</v>
      </c>
      <c r="G362" s="282" t="s">
        <v>5</v>
      </c>
      <c r="H362" s="282">
        <v>0</v>
      </c>
      <c r="I362" s="282">
        <v>0</v>
      </c>
      <c r="J362" s="282">
        <v>8</v>
      </c>
      <c r="K362" s="282">
        <v>0</v>
      </c>
      <c r="L362" s="282">
        <f>SUM(H362:K362)</f>
        <v>8</v>
      </c>
      <c r="M362" s="282" t="s">
        <v>623</v>
      </c>
      <c r="N362" s="282" t="s">
        <v>34</v>
      </c>
      <c r="O362" s="282" t="s">
        <v>698</v>
      </c>
    </row>
    <row r="363" spans="1:15" s="250" customFormat="1" ht="72" x14ac:dyDescent="0.3">
      <c r="A363" s="287"/>
      <c r="B363" s="305" t="s">
        <v>2</v>
      </c>
      <c r="C363" s="305" t="s">
        <v>696</v>
      </c>
      <c r="D363" s="305" t="s">
        <v>1028</v>
      </c>
      <c r="E363" s="305" t="s">
        <v>4</v>
      </c>
      <c r="F363" s="307">
        <v>45623</v>
      </c>
      <c r="G363" s="305" t="s">
        <v>694</v>
      </c>
      <c r="H363" s="305">
        <v>0</v>
      </c>
      <c r="I363" s="305">
        <v>1</v>
      </c>
      <c r="J363" s="305">
        <v>9</v>
      </c>
      <c r="K363" s="305">
        <v>0</v>
      </c>
      <c r="L363" s="305">
        <f>SUBTOTAL(9,H363:K363)</f>
        <v>10</v>
      </c>
      <c r="M363" s="305" t="s">
        <v>11</v>
      </c>
      <c r="N363" s="305" t="s">
        <v>12</v>
      </c>
      <c r="O363" s="305" t="s">
        <v>764</v>
      </c>
    </row>
    <row r="364" spans="1:15" ht="84" x14ac:dyDescent="0.3">
      <c r="A364" s="287"/>
      <c r="B364" s="258" t="s">
        <v>60</v>
      </c>
      <c r="C364" s="258" t="s">
        <v>688</v>
      </c>
      <c r="D364" s="258" t="s">
        <v>1028</v>
      </c>
      <c r="E364" s="258" t="s">
        <v>4</v>
      </c>
      <c r="F364" s="210">
        <v>45624</v>
      </c>
      <c r="G364" s="258" t="s">
        <v>676</v>
      </c>
      <c r="H364" s="258">
        <v>0</v>
      </c>
      <c r="I364" s="258">
        <v>0</v>
      </c>
      <c r="J364" s="258">
        <v>23</v>
      </c>
      <c r="K364" s="258">
        <v>0</v>
      </c>
      <c r="L364" s="258">
        <v>23</v>
      </c>
      <c r="M364" s="258" t="s">
        <v>635</v>
      </c>
      <c r="N364" s="258" t="s">
        <v>12</v>
      </c>
      <c r="O364" s="258" t="s">
        <v>697</v>
      </c>
    </row>
    <row r="365" spans="1:15" s="250" customFormat="1" ht="336.6" thickBot="1" x14ac:dyDescent="0.35">
      <c r="A365" s="287"/>
      <c r="B365" s="308" t="s">
        <v>2</v>
      </c>
      <c r="C365" s="308" t="s">
        <v>692</v>
      </c>
      <c r="D365" s="308" t="s">
        <v>1028</v>
      </c>
      <c r="E365" s="308" t="s">
        <v>4</v>
      </c>
      <c r="F365" s="309">
        <v>45624</v>
      </c>
      <c r="G365" s="308" t="s">
        <v>5</v>
      </c>
      <c r="H365" s="308">
        <v>11</v>
      </c>
      <c r="I365" s="308">
        <v>37</v>
      </c>
      <c r="J365" s="308">
        <v>74</v>
      </c>
      <c r="K365" s="308">
        <v>0</v>
      </c>
      <c r="L365" s="308">
        <f>SUM(H365:K365)</f>
        <v>122</v>
      </c>
      <c r="M365" s="308" t="s">
        <v>6</v>
      </c>
      <c r="N365" s="308" t="s">
        <v>12</v>
      </c>
      <c r="O365" s="308" t="s">
        <v>695</v>
      </c>
    </row>
    <row r="366" spans="1:15" ht="96" x14ac:dyDescent="0.3">
      <c r="A366" s="183"/>
      <c r="B366" s="273" t="s">
        <v>8</v>
      </c>
      <c r="C366" s="273" t="s">
        <v>692</v>
      </c>
      <c r="D366" s="273" t="s">
        <v>1028</v>
      </c>
      <c r="E366" s="273" t="s">
        <v>4</v>
      </c>
      <c r="F366" s="296">
        <v>45624</v>
      </c>
      <c r="G366" s="273" t="s">
        <v>5</v>
      </c>
      <c r="H366" s="273">
        <v>0</v>
      </c>
      <c r="I366" s="273">
        <v>0</v>
      </c>
      <c r="J366" s="273">
        <v>4</v>
      </c>
      <c r="K366" s="273">
        <v>0</v>
      </c>
      <c r="L366" s="273">
        <v>4</v>
      </c>
      <c r="M366" s="273" t="s">
        <v>623</v>
      </c>
      <c r="N366" s="273" t="s">
        <v>34</v>
      </c>
      <c r="O366" s="273" t="s">
        <v>704</v>
      </c>
    </row>
    <row r="367" spans="1:15" s="253" customFormat="1" ht="216" customHeight="1" thickBot="1" x14ac:dyDescent="0.35">
      <c r="A367" s="208"/>
      <c r="B367" s="270" t="s">
        <v>8</v>
      </c>
      <c r="C367" s="270" t="s">
        <v>742</v>
      </c>
      <c r="D367" s="270" t="s">
        <v>84</v>
      </c>
      <c r="E367" s="270" t="s">
        <v>15</v>
      </c>
      <c r="F367" s="281" t="s">
        <v>741</v>
      </c>
      <c r="G367" s="270" t="s">
        <v>743</v>
      </c>
      <c r="H367" s="270">
        <v>7</v>
      </c>
      <c r="I367" s="270">
        <v>45</v>
      </c>
      <c r="J367" s="270">
        <v>57</v>
      </c>
      <c r="K367" s="270">
        <v>3</v>
      </c>
      <c r="L367" s="270">
        <f>SUM(H367:K367)</f>
        <v>112</v>
      </c>
      <c r="M367" s="270" t="s">
        <v>816</v>
      </c>
      <c r="N367" s="270" t="s">
        <v>31</v>
      </c>
      <c r="O367" s="270" t="s">
        <v>744</v>
      </c>
    </row>
    <row r="368" spans="1:15" s="257" customFormat="1" ht="108" x14ac:dyDescent="0.3">
      <c r="A368" s="287"/>
      <c r="B368" s="305" t="s">
        <v>175</v>
      </c>
      <c r="C368" s="305" t="s">
        <v>231</v>
      </c>
      <c r="D368" s="305" t="s">
        <v>1028</v>
      </c>
      <c r="E368" s="305" t="s">
        <v>4</v>
      </c>
      <c r="F368" s="307">
        <v>45625</v>
      </c>
      <c r="G368" s="305" t="s">
        <v>601</v>
      </c>
      <c r="H368" s="305">
        <v>0</v>
      </c>
      <c r="I368" s="305">
        <v>3</v>
      </c>
      <c r="J368" s="305">
        <v>18</v>
      </c>
      <c r="K368" s="305">
        <v>6</v>
      </c>
      <c r="L368" s="305">
        <f>SUBTOTAL(9,H368:K368)</f>
        <v>27</v>
      </c>
      <c r="M368" s="305" t="s">
        <v>7</v>
      </c>
      <c r="N368" s="305" t="s">
        <v>12</v>
      </c>
      <c r="O368" s="305" t="s">
        <v>832</v>
      </c>
    </row>
    <row r="369" spans="1:15" s="254" customFormat="1" ht="94.5" customHeight="1" x14ac:dyDescent="0.3">
      <c r="A369" s="287"/>
      <c r="B369" s="258" t="s">
        <v>2</v>
      </c>
      <c r="C369" s="258" t="s">
        <v>745</v>
      </c>
      <c r="D369" s="258" t="s">
        <v>1028</v>
      </c>
      <c r="E369" s="258" t="s">
        <v>4</v>
      </c>
      <c r="F369" s="210">
        <v>45625</v>
      </c>
      <c r="G369" s="258" t="s">
        <v>5</v>
      </c>
      <c r="H369" s="258">
        <v>5</v>
      </c>
      <c r="I369" s="258">
        <v>15</v>
      </c>
      <c r="J369" s="258">
        <v>30</v>
      </c>
      <c r="K369" s="258">
        <v>0</v>
      </c>
      <c r="L369" s="258">
        <f>SUBTOTAL(9,H369:K369)</f>
        <v>50</v>
      </c>
      <c r="M369" s="258" t="s">
        <v>11</v>
      </c>
      <c r="N369" s="258" t="s">
        <v>12</v>
      </c>
      <c r="O369" s="258" t="s">
        <v>765</v>
      </c>
    </row>
    <row r="370" spans="1:15" s="257" customFormat="1" ht="94.5" customHeight="1" x14ac:dyDescent="0.3">
      <c r="A370" s="287"/>
      <c r="B370" s="258" t="s">
        <v>175</v>
      </c>
      <c r="C370" s="258" t="s">
        <v>774</v>
      </c>
      <c r="D370" s="258" t="s">
        <v>1029</v>
      </c>
      <c r="E370" s="258" t="s">
        <v>4</v>
      </c>
      <c r="F370" s="210">
        <v>45625</v>
      </c>
      <c r="G370" s="258" t="s">
        <v>490</v>
      </c>
      <c r="H370" s="258">
        <v>0</v>
      </c>
      <c r="I370" s="258">
        <v>0</v>
      </c>
      <c r="J370" s="258">
        <v>10</v>
      </c>
      <c r="K370" s="258">
        <v>0</v>
      </c>
      <c r="L370" s="258">
        <v>10</v>
      </c>
      <c r="M370" s="258" t="s">
        <v>539</v>
      </c>
      <c r="N370" s="258" t="s">
        <v>12</v>
      </c>
      <c r="O370" s="258" t="s">
        <v>775</v>
      </c>
    </row>
    <row r="371" spans="1:15" s="254" customFormat="1" ht="24" x14ac:dyDescent="0.3">
      <c r="A371" s="287"/>
      <c r="B371" s="258" t="s">
        <v>2</v>
      </c>
      <c r="C371" s="258" t="s">
        <v>746</v>
      </c>
      <c r="D371" s="258" t="s">
        <v>1028</v>
      </c>
      <c r="E371" s="258" t="s">
        <v>4</v>
      </c>
      <c r="F371" s="210">
        <v>45626</v>
      </c>
      <c r="G371" s="258" t="s">
        <v>5</v>
      </c>
      <c r="H371" s="258">
        <v>0</v>
      </c>
      <c r="I371" s="258">
        <v>1</v>
      </c>
      <c r="J371" s="258">
        <v>6</v>
      </c>
      <c r="K371" s="258">
        <v>0</v>
      </c>
      <c r="L371" s="258">
        <f>SUBTOTAL(9,H371:K371)</f>
        <v>7</v>
      </c>
      <c r="M371" s="258" t="s">
        <v>11</v>
      </c>
      <c r="N371" s="258" t="s">
        <v>12</v>
      </c>
      <c r="O371" s="258" t="s">
        <v>766</v>
      </c>
    </row>
    <row r="372" spans="1:15" s="254" customFormat="1" ht="36" x14ac:dyDescent="0.3">
      <c r="A372" s="287"/>
      <c r="B372" s="258" t="s">
        <v>2</v>
      </c>
      <c r="C372" s="258" t="s">
        <v>747</v>
      </c>
      <c r="D372" s="258" t="s">
        <v>1028</v>
      </c>
      <c r="E372" s="258" t="s">
        <v>4</v>
      </c>
      <c r="F372" s="210">
        <v>45628</v>
      </c>
      <c r="G372" s="258" t="s">
        <v>5</v>
      </c>
      <c r="H372" s="258">
        <v>0</v>
      </c>
      <c r="I372" s="258">
        <v>3</v>
      </c>
      <c r="J372" s="258">
        <v>9</v>
      </c>
      <c r="K372" s="258">
        <v>0</v>
      </c>
      <c r="L372" s="258">
        <f>SUBTOTAL(9,H372:K372)</f>
        <v>12</v>
      </c>
      <c r="M372" s="258" t="s">
        <v>11</v>
      </c>
      <c r="N372" s="258" t="s">
        <v>12</v>
      </c>
      <c r="O372" s="258" t="s">
        <v>767</v>
      </c>
    </row>
    <row r="373" spans="1:15" s="256" customFormat="1" ht="72" x14ac:dyDescent="0.3">
      <c r="A373" s="287"/>
      <c r="B373" s="258" t="s">
        <v>2</v>
      </c>
      <c r="C373" s="258" t="s">
        <v>772</v>
      </c>
      <c r="D373" s="258" t="s">
        <v>1029</v>
      </c>
      <c r="E373" s="258" t="s">
        <v>4</v>
      </c>
      <c r="F373" s="210">
        <v>45628</v>
      </c>
      <c r="G373" s="258" t="s">
        <v>770</v>
      </c>
      <c r="H373" s="258">
        <v>0</v>
      </c>
      <c r="I373" s="258">
        <v>4</v>
      </c>
      <c r="J373" s="258">
        <v>46</v>
      </c>
      <c r="K373" s="258">
        <v>0</v>
      </c>
      <c r="L373" s="258">
        <v>50</v>
      </c>
      <c r="M373" s="258" t="s">
        <v>108</v>
      </c>
      <c r="N373" s="258" t="s">
        <v>12</v>
      </c>
      <c r="O373" s="258" t="s">
        <v>773</v>
      </c>
    </row>
    <row r="374" spans="1:15" s="254" customFormat="1" ht="36" x14ac:dyDescent="0.3">
      <c r="A374" s="287"/>
      <c r="B374" s="258" t="s">
        <v>2</v>
      </c>
      <c r="C374" s="258" t="s">
        <v>748</v>
      </c>
      <c r="D374" s="258" t="s">
        <v>1028</v>
      </c>
      <c r="E374" s="258" t="s">
        <v>4</v>
      </c>
      <c r="F374" s="210">
        <v>45629</v>
      </c>
      <c r="G374" s="258" t="s">
        <v>694</v>
      </c>
      <c r="H374" s="258">
        <v>0</v>
      </c>
      <c r="I374" s="258">
        <v>3</v>
      </c>
      <c r="J374" s="258">
        <v>11</v>
      </c>
      <c r="K374" s="258">
        <v>0</v>
      </c>
      <c r="L374" s="258">
        <f>SUBTOTAL(9,H374:K374)</f>
        <v>14</v>
      </c>
      <c r="M374" s="258" t="s">
        <v>11</v>
      </c>
      <c r="N374" s="258" t="s">
        <v>12</v>
      </c>
      <c r="O374" s="258" t="s">
        <v>768</v>
      </c>
    </row>
    <row r="375" spans="1:15" s="264" customFormat="1" ht="84" x14ac:dyDescent="0.3">
      <c r="A375" s="287"/>
      <c r="B375" s="258" t="s">
        <v>423</v>
      </c>
      <c r="C375" s="258" t="s">
        <v>882</v>
      </c>
      <c r="D375" s="258" t="s">
        <v>1028</v>
      </c>
      <c r="E375" s="258" t="s">
        <v>4</v>
      </c>
      <c r="F375" s="210">
        <v>45629</v>
      </c>
      <c r="G375" s="258" t="s">
        <v>694</v>
      </c>
      <c r="H375" s="258">
        <v>1</v>
      </c>
      <c r="I375" s="258">
        <v>4</v>
      </c>
      <c r="J375" s="258">
        <v>23</v>
      </c>
      <c r="K375" s="258">
        <v>0</v>
      </c>
      <c r="L375" s="258">
        <f>SUM(H375:K375)</f>
        <v>28</v>
      </c>
      <c r="M375" s="258" t="s">
        <v>881</v>
      </c>
      <c r="N375" s="258" t="s">
        <v>12</v>
      </c>
      <c r="O375" s="258" t="s">
        <v>880</v>
      </c>
    </row>
    <row r="376" spans="1:15" s="264" customFormat="1" ht="156" x14ac:dyDescent="0.3">
      <c r="A376" s="287"/>
      <c r="B376" s="258" t="s">
        <v>365</v>
      </c>
      <c r="C376" s="258" t="s">
        <v>877</v>
      </c>
      <c r="D376" s="258" t="s">
        <v>1028</v>
      </c>
      <c r="E376" s="258" t="s">
        <v>4</v>
      </c>
      <c r="F376" s="210" t="s">
        <v>876</v>
      </c>
      <c r="G376" s="261" t="s">
        <v>396</v>
      </c>
      <c r="H376" s="258">
        <v>4</v>
      </c>
      <c r="I376" s="258">
        <v>15</v>
      </c>
      <c r="J376" s="258">
        <v>53</v>
      </c>
      <c r="K376" s="258">
        <v>0</v>
      </c>
      <c r="L376" s="258">
        <f>SUM(H376:K376)</f>
        <v>72</v>
      </c>
      <c r="M376" s="258" t="s">
        <v>6</v>
      </c>
      <c r="N376" s="258" t="s">
        <v>12</v>
      </c>
      <c r="O376" s="258" t="s">
        <v>878</v>
      </c>
    </row>
    <row r="377" spans="1:15" s="264" customFormat="1" ht="132" x14ac:dyDescent="0.3">
      <c r="A377" s="287"/>
      <c r="B377" s="242" t="s">
        <v>371</v>
      </c>
      <c r="C377" s="258" t="s">
        <v>964</v>
      </c>
      <c r="D377" s="258" t="s">
        <v>1028</v>
      </c>
      <c r="E377" s="258" t="s">
        <v>4</v>
      </c>
      <c r="F377" s="210">
        <v>45631</v>
      </c>
      <c r="G377" s="258" t="s">
        <v>694</v>
      </c>
      <c r="H377" s="258">
        <v>11</v>
      </c>
      <c r="I377" s="258">
        <v>96</v>
      </c>
      <c r="J377" s="258">
        <v>196</v>
      </c>
      <c r="K377" s="258">
        <v>19</v>
      </c>
      <c r="L377" s="258">
        <f>SUM(H377:K377)</f>
        <v>322</v>
      </c>
      <c r="M377" s="258" t="s">
        <v>10</v>
      </c>
      <c r="N377" s="258" t="s">
        <v>12</v>
      </c>
      <c r="O377" s="258" t="s">
        <v>879</v>
      </c>
    </row>
    <row r="378" spans="1:15" s="257" customFormat="1" ht="108" x14ac:dyDescent="0.3">
      <c r="A378" s="287"/>
      <c r="B378" s="258" t="s">
        <v>175</v>
      </c>
      <c r="C378" s="258" t="s">
        <v>821</v>
      </c>
      <c r="D378" s="258" t="s">
        <v>1028</v>
      </c>
      <c r="E378" s="258" t="s">
        <v>4</v>
      </c>
      <c r="F378" s="210">
        <v>45632</v>
      </c>
      <c r="G378" s="258" t="s">
        <v>601</v>
      </c>
      <c r="H378" s="258">
        <v>0</v>
      </c>
      <c r="I378" s="258">
        <v>3</v>
      </c>
      <c r="J378" s="258">
        <v>15</v>
      </c>
      <c r="K378" s="258">
        <v>5</v>
      </c>
      <c r="L378" s="258">
        <f>SUBTOTAL(9,H378:K378)</f>
        <v>23</v>
      </c>
      <c r="M378" s="258" t="s">
        <v>7</v>
      </c>
      <c r="N378" s="258" t="s">
        <v>12</v>
      </c>
      <c r="O378" s="258" t="s">
        <v>822</v>
      </c>
    </row>
    <row r="379" spans="1:15" s="257" customFormat="1" ht="84" x14ac:dyDescent="0.3">
      <c r="A379" s="287"/>
      <c r="B379" s="258" t="s">
        <v>8</v>
      </c>
      <c r="C379" s="258" t="s">
        <v>811</v>
      </c>
      <c r="D379" s="258" t="s">
        <v>84</v>
      </c>
      <c r="E379" s="258" t="s">
        <v>15</v>
      </c>
      <c r="F379" s="210">
        <v>45635</v>
      </c>
      <c r="G379" s="258" t="s">
        <v>5</v>
      </c>
      <c r="H379" s="258">
        <v>40</v>
      </c>
      <c r="I379" s="258">
        <v>80</v>
      </c>
      <c r="J379" s="258">
        <v>210</v>
      </c>
      <c r="K379" s="258">
        <v>60</v>
      </c>
      <c r="L379" s="258">
        <f>SUM(H379:K379)</f>
        <v>390</v>
      </c>
      <c r="M379" s="258" t="s">
        <v>813</v>
      </c>
      <c r="N379" s="258" t="s">
        <v>12</v>
      </c>
      <c r="O379" s="258" t="s">
        <v>812</v>
      </c>
    </row>
    <row r="380" spans="1:15" s="257" customFormat="1" ht="120" x14ac:dyDescent="0.3">
      <c r="A380" s="287"/>
      <c r="B380" s="258" t="s">
        <v>8</v>
      </c>
      <c r="C380" s="258" t="s">
        <v>815</v>
      </c>
      <c r="D380" s="258" t="s">
        <v>84</v>
      </c>
      <c r="E380" s="258" t="s">
        <v>15</v>
      </c>
      <c r="F380" s="210">
        <v>45636</v>
      </c>
      <c r="G380" s="258" t="s">
        <v>5</v>
      </c>
      <c r="H380" s="258">
        <v>20</v>
      </c>
      <c r="I380" s="258">
        <v>5</v>
      </c>
      <c r="J380" s="258">
        <v>10</v>
      </c>
      <c r="K380" s="258">
        <v>0</v>
      </c>
      <c r="L380" s="258">
        <v>35</v>
      </c>
      <c r="M380" s="258" t="s">
        <v>813</v>
      </c>
      <c r="N380" s="258" t="s">
        <v>12</v>
      </c>
      <c r="O380" s="258" t="s">
        <v>814</v>
      </c>
    </row>
    <row r="381" spans="1:15" ht="48" x14ac:dyDescent="0.3">
      <c r="A381" s="287"/>
      <c r="B381" s="258" t="s">
        <v>2</v>
      </c>
      <c r="C381" s="258" t="s">
        <v>724</v>
      </c>
      <c r="D381" s="258" t="s">
        <v>1028</v>
      </c>
      <c r="E381" s="258" t="s">
        <v>4</v>
      </c>
      <c r="F381" s="210">
        <v>45636</v>
      </c>
      <c r="G381" s="258" t="s">
        <v>694</v>
      </c>
      <c r="H381" s="258">
        <v>3</v>
      </c>
      <c r="I381" s="251">
        <v>15</v>
      </c>
      <c r="J381" s="251">
        <v>32</v>
      </c>
      <c r="K381" s="251">
        <v>0</v>
      </c>
      <c r="L381" s="258">
        <f>SUBTOTAL(9,H381:K381)</f>
        <v>50</v>
      </c>
      <c r="M381" s="258" t="s">
        <v>14</v>
      </c>
      <c r="N381" s="258" t="s">
        <v>12</v>
      </c>
      <c r="O381" s="258" t="s">
        <v>725</v>
      </c>
    </row>
    <row r="382" spans="1:15" ht="72" x14ac:dyDescent="0.3">
      <c r="A382" s="287"/>
      <c r="B382" s="258" t="s">
        <v>227</v>
      </c>
      <c r="C382" s="258" t="s">
        <v>738</v>
      </c>
      <c r="D382" s="258" t="s">
        <v>1028</v>
      </c>
      <c r="E382" s="258" t="s">
        <v>4</v>
      </c>
      <c r="F382" s="210">
        <v>45636</v>
      </c>
      <c r="G382" s="258" t="s">
        <v>225</v>
      </c>
      <c r="H382" s="258">
        <v>0</v>
      </c>
      <c r="I382" s="258">
        <v>10</v>
      </c>
      <c r="J382" s="258">
        <v>130</v>
      </c>
      <c r="K382" s="258">
        <v>10</v>
      </c>
      <c r="L382" s="258">
        <f>SUM(H382:K382)</f>
        <v>150</v>
      </c>
      <c r="M382" s="258" t="s">
        <v>134</v>
      </c>
      <c r="N382" s="258" t="s">
        <v>12</v>
      </c>
      <c r="O382" s="258" t="s">
        <v>739</v>
      </c>
    </row>
    <row r="383" spans="1:15" s="264" customFormat="1" ht="409.6" x14ac:dyDescent="0.3">
      <c r="A383" s="287"/>
      <c r="B383" s="258" t="s">
        <v>175</v>
      </c>
      <c r="C383" s="258" t="s">
        <v>873</v>
      </c>
      <c r="D383" s="258" t="s">
        <v>655</v>
      </c>
      <c r="E383" s="258" t="s">
        <v>4</v>
      </c>
      <c r="F383" s="210" t="s">
        <v>874</v>
      </c>
      <c r="G383" s="258" t="s">
        <v>694</v>
      </c>
      <c r="H383" s="258">
        <v>115</v>
      </c>
      <c r="I383" s="258">
        <v>0</v>
      </c>
      <c r="J383" s="258">
        <v>25</v>
      </c>
      <c r="K383" s="258">
        <v>0</v>
      </c>
      <c r="L383" s="258">
        <f>SUM(H383:K383)</f>
        <v>140</v>
      </c>
      <c r="M383" s="258" t="s">
        <v>6</v>
      </c>
      <c r="N383" s="258" t="s">
        <v>12</v>
      </c>
      <c r="O383" s="258" t="s">
        <v>875</v>
      </c>
    </row>
    <row r="384" spans="1:15" s="278" customFormat="1" ht="96" x14ac:dyDescent="0.3">
      <c r="A384" s="337"/>
      <c r="B384" s="258" t="s">
        <v>365</v>
      </c>
      <c r="C384" s="258" t="s">
        <v>941</v>
      </c>
      <c r="D384" s="258" t="s">
        <v>1028</v>
      </c>
      <c r="E384" s="258" t="s">
        <v>4</v>
      </c>
      <c r="F384" s="210">
        <v>45637</v>
      </c>
      <c r="G384" s="258" t="s">
        <v>694</v>
      </c>
      <c r="H384" s="258">
        <v>9</v>
      </c>
      <c r="I384" s="258">
        <v>48</v>
      </c>
      <c r="J384" s="258">
        <v>150</v>
      </c>
      <c r="K384" s="258">
        <v>0</v>
      </c>
      <c r="L384" s="258">
        <f>SUM(H384:K384)</f>
        <v>207</v>
      </c>
      <c r="M384" s="258" t="s">
        <v>486</v>
      </c>
      <c r="N384" s="258" t="s">
        <v>12</v>
      </c>
      <c r="O384" s="258" t="s">
        <v>942</v>
      </c>
    </row>
    <row r="385" spans="1:15" s="264" customFormat="1" ht="330" customHeight="1" x14ac:dyDescent="0.3">
      <c r="A385" s="287"/>
      <c r="B385" s="258" t="s">
        <v>365</v>
      </c>
      <c r="C385" s="258" t="s">
        <v>871</v>
      </c>
      <c r="D385" s="258" t="s">
        <v>280</v>
      </c>
      <c r="E385" s="258" t="s">
        <v>4</v>
      </c>
      <c r="F385" s="210" t="s">
        <v>868</v>
      </c>
      <c r="G385" s="261" t="s">
        <v>396</v>
      </c>
      <c r="H385" s="258">
        <v>14</v>
      </c>
      <c r="I385" s="258">
        <v>0</v>
      </c>
      <c r="J385" s="258">
        <v>165</v>
      </c>
      <c r="K385" s="258">
        <v>0</v>
      </c>
      <c r="L385" s="258">
        <f>SUM(H385:K385)</f>
        <v>179</v>
      </c>
      <c r="M385" s="258" t="s">
        <v>6</v>
      </c>
      <c r="N385" s="258" t="s">
        <v>12</v>
      </c>
      <c r="O385" s="258" t="s">
        <v>870</v>
      </c>
    </row>
    <row r="386" spans="1:15" ht="24" x14ac:dyDescent="0.3">
      <c r="A386" s="287"/>
      <c r="B386" s="258" t="s">
        <v>2</v>
      </c>
      <c r="C386" s="258" t="s">
        <v>748</v>
      </c>
      <c r="D386" s="258" t="s">
        <v>1028</v>
      </c>
      <c r="E386" s="258" t="s">
        <v>4</v>
      </c>
      <c r="F386" s="210">
        <v>45638</v>
      </c>
      <c r="G386" s="258" t="s">
        <v>694</v>
      </c>
      <c r="H386" s="258">
        <v>0</v>
      </c>
      <c r="I386" s="258">
        <v>4</v>
      </c>
      <c r="J386" s="258">
        <v>11</v>
      </c>
      <c r="K386" s="258">
        <v>0</v>
      </c>
      <c r="L386" s="258">
        <f>SUBTOTAL(9,H386:K386)</f>
        <v>15</v>
      </c>
      <c r="M386" s="258" t="s">
        <v>11</v>
      </c>
      <c r="N386" s="258" t="s">
        <v>12</v>
      </c>
      <c r="O386" s="258" t="s">
        <v>827</v>
      </c>
    </row>
    <row r="387" spans="1:15" s="264" customFormat="1" ht="132" x14ac:dyDescent="0.3">
      <c r="A387" s="287"/>
      <c r="B387" s="258" t="s">
        <v>365</v>
      </c>
      <c r="C387" s="258" t="s">
        <v>869</v>
      </c>
      <c r="D387" s="258" t="s">
        <v>1028</v>
      </c>
      <c r="E387" s="258" t="s">
        <v>4</v>
      </c>
      <c r="F387" s="210">
        <v>45639</v>
      </c>
      <c r="G387" s="258" t="s">
        <v>694</v>
      </c>
      <c r="H387" s="258">
        <v>15</v>
      </c>
      <c r="I387" s="258">
        <v>209</v>
      </c>
      <c r="J387" s="258">
        <v>487</v>
      </c>
      <c r="K387" s="258">
        <v>35</v>
      </c>
      <c r="L387" s="258">
        <f>SUM(H387:K387)</f>
        <v>746</v>
      </c>
      <c r="M387" s="258" t="s">
        <v>6</v>
      </c>
      <c r="N387" s="258" t="s">
        <v>12</v>
      </c>
      <c r="O387" s="258" t="s">
        <v>872</v>
      </c>
    </row>
    <row r="388" spans="1:15" ht="132" x14ac:dyDescent="0.3">
      <c r="A388" s="287"/>
      <c r="B388" s="258" t="s">
        <v>227</v>
      </c>
      <c r="C388" s="258" t="s">
        <v>740</v>
      </c>
      <c r="D388" s="258" t="s">
        <v>1028</v>
      </c>
      <c r="E388" s="258" t="s">
        <v>4</v>
      </c>
      <c r="F388" s="210">
        <v>45639</v>
      </c>
      <c r="G388" s="258" t="s">
        <v>736</v>
      </c>
      <c r="H388" s="258">
        <v>0</v>
      </c>
      <c r="I388" s="258">
        <v>0</v>
      </c>
      <c r="J388" s="258">
        <v>15</v>
      </c>
      <c r="K388" s="258">
        <v>0</v>
      </c>
      <c r="L388" s="258">
        <v>15</v>
      </c>
      <c r="M388" s="258" t="s">
        <v>134</v>
      </c>
      <c r="N388" s="258" t="s">
        <v>12</v>
      </c>
      <c r="O388" s="258" t="s">
        <v>737</v>
      </c>
    </row>
    <row r="389" spans="1:15" ht="36" x14ac:dyDescent="0.3">
      <c r="A389" s="289"/>
      <c r="B389" s="258" t="s">
        <v>365</v>
      </c>
      <c r="C389" s="258" t="s">
        <v>817</v>
      </c>
      <c r="D389" s="258" t="s">
        <v>1028</v>
      </c>
      <c r="E389" s="258" t="s">
        <v>4</v>
      </c>
      <c r="F389" s="210">
        <v>45640</v>
      </c>
      <c r="G389" s="258" t="s">
        <v>694</v>
      </c>
      <c r="H389" s="258">
        <v>0</v>
      </c>
      <c r="I389" s="258">
        <v>4</v>
      </c>
      <c r="J389" s="258">
        <v>6</v>
      </c>
      <c r="K389" s="258">
        <v>0</v>
      </c>
      <c r="L389" s="258">
        <f>SUBTOTAL(9,H389:K389)</f>
        <v>10</v>
      </c>
      <c r="M389" s="258" t="s">
        <v>11</v>
      </c>
      <c r="N389" s="258" t="s">
        <v>12</v>
      </c>
      <c r="O389" s="258" t="s">
        <v>828</v>
      </c>
    </row>
    <row r="390" spans="1:15" ht="24" x14ac:dyDescent="0.3">
      <c r="A390" s="289"/>
      <c r="B390" s="258" t="s">
        <v>2</v>
      </c>
      <c r="C390" s="258" t="s">
        <v>746</v>
      </c>
      <c r="D390" s="258" t="s">
        <v>1028</v>
      </c>
      <c r="E390" s="258" t="s">
        <v>4</v>
      </c>
      <c r="F390" s="210">
        <v>45640</v>
      </c>
      <c r="G390" s="258" t="s">
        <v>5</v>
      </c>
      <c r="H390" s="258">
        <v>0</v>
      </c>
      <c r="I390" s="258">
        <v>1</v>
      </c>
      <c r="J390" s="258">
        <v>7</v>
      </c>
      <c r="K390" s="258">
        <v>0</v>
      </c>
      <c r="L390" s="258">
        <f>SUBTOTAL(9,H390:K390)</f>
        <v>8</v>
      </c>
      <c r="M390" s="258" t="s">
        <v>11</v>
      </c>
      <c r="N390" s="258" t="s">
        <v>12</v>
      </c>
      <c r="O390" s="258" t="s">
        <v>826</v>
      </c>
    </row>
    <row r="391" spans="1:15" s="257" customFormat="1" ht="84" x14ac:dyDescent="0.3">
      <c r="A391" s="289"/>
      <c r="B391" s="258" t="s">
        <v>2</v>
      </c>
      <c r="C391" s="258" t="s">
        <v>823</v>
      </c>
      <c r="D391" s="258" t="s">
        <v>84</v>
      </c>
      <c r="E391" s="258" t="s">
        <v>4</v>
      </c>
      <c r="F391" s="210">
        <v>45642</v>
      </c>
      <c r="G391" s="258" t="s">
        <v>824</v>
      </c>
      <c r="H391" s="258">
        <v>0</v>
      </c>
      <c r="I391" s="258">
        <v>6</v>
      </c>
      <c r="J391" s="258">
        <v>37</v>
      </c>
      <c r="K391" s="258">
        <v>17</v>
      </c>
      <c r="L391" s="258">
        <f>SUBTOTAL(9,H391:K391)</f>
        <v>60</v>
      </c>
      <c r="M391" s="258" t="s">
        <v>825</v>
      </c>
      <c r="N391" s="258" t="s">
        <v>12</v>
      </c>
      <c r="O391" s="258" t="s">
        <v>829</v>
      </c>
    </row>
    <row r="392" spans="1:15" ht="72" x14ac:dyDescent="0.3">
      <c r="A392" s="289"/>
      <c r="B392" s="270" t="s">
        <v>2</v>
      </c>
      <c r="C392" s="270" t="s">
        <v>818</v>
      </c>
      <c r="D392" s="270" t="s">
        <v>1028</v>
      </c>
      <c r="E392" s="270" t="s">
        <v>4</v>
      </c>
      <c r="F392" s="281">
        <v>45643</v>
      </c>
      <c r="G392" s="270" t="s">
        <v>819</v>
      </c>
      <c r="H392" s="270">
        <v>0</v>
      </c>
      <c r="I392" s="270">
        <v>2</v>
      </c>
      <c r="J392" s="270">
        <v>9</v>
      </c>
      <c r="K392" s="270">
        <v>0</v>
      </c>
      <c r="L392" s="270">
        <f>SUBTOTAL(9,H392:K392)</f>
        <v>11</v>
      </c>
      <c r="M392" s="270" t="s">
        <v>11</v>
      </c>
      <c r="N392" s="258" t="s">
        <v>12</v>
      </c>
      <c r="O392" s="284" t="s">
        <v>820</v>
      </c>
    </row>
    <row r="393" spans="1:15" s="278" customFormat="1" ht="108" x14ac:dyDescent="0.3">
      <c r="A393" s="290"/>
      <c r="B393" s="258" t="s">
        <v>60</v>
      </c>
      <c r="C393" s="258" t="s">
        <v>934</v>
      </c>
      <c r="D393" s="258" t="s">
        <v>1028</v>
      </c>
      <c r="E393" s="258" t="s">
        <v>4</v>
      </c>
      <c r="F393" s="210">
        <v>45644</v>
      </c>
      <c r="G393" s="258" t="s">
        <v>819</v>
      </c>
      <c r="H393" s="258">
        <v>11</v>
      </c>
      <c r="I393" s="258">
        <v>0</v>
      </c>
      <c r="J393" s="258">
        <v>71</v>
      </c>
      <c r="K393" s="258">
        <v>0</v>
      </c>
      <c r="L393" s="258">
        <f>SUM(H393:K393)</f>
        <v>82</v>
      </c>
      <c r="M393" s="258" t="s">
        <v>935</v>
      </c>
      <c r="N393" s="258" t="s">
        <v>12</v>
      </c>
      <c r="O393" s="285" t="s">
        <v>936</v>
      </c>
    </row>
    <row r="394" spans="1:15" ht="96.6" thickBot="1" x14ac:dyDescent="0.35">
      <c r="A394" s="290"/>
      <c r="B394" s="320" t="s">
        <v>371</v>
      </c>
      <c r="C394" s="321" t="s">
        <v>943</v>
      </c>
      <c r="D394" s="322" t="s">
        <v>1028</v>
      </c>
      <c r="E394" s="320" t="s">
        <v>4</v>
      </c>
      <c r="F394" s="323" t="s">
        <v>865</v>
      </c>
      <c r="G394" s="324" t="s">
        <v>396</v>
      </c>
      <c r="H394" s="325">
        <v>5</v>
      </c>
      <c r="I394" s="320">
        <v>14</v>
      </c>
      <c r="J394" s="320">
        <v>60</v>
      </c>
      <c r="K394" s="320">
        <v>0</v>
      </c>
      <c r="L394" s="320">
        <f>SUBTOTAL(9,H394:K394)</f>
        <v>79</v>
      </c>
      <c r="M394" s="320" t="s">
        <v>10</v>
      </c>
      <c r="N394" s="326" t="s">
        <v>12</v>
      </c>
      <c r="O394" s="327" t="s">
        <v>861</v>
      </c>
    </row>
    <row r="395" spans="1:15" s="264" customFormat="1" ht="288.60000000000002" thickBot="1" x14ac:dyDescent="0.35">
      <c r="A395" s="266"/>
      <c r="B395" s="299" t="s">
        <v>2</v>
      </c>
      <c r="C395" s="300" t="s">
        <v>866</v>
      </c>
      <c r="D395" s="282" t="s">
        <v>1028</v>
      </c>
      <c r="E395" s="301" t="s">
        <v>4</v>
      </c>
      <c r="F395" s="302">
        <v>45646</v>
      </c>
      <c r="G395" s="282" t="s">
        <v>819</v>
      </c>
      <c r="H395" s="303">
        <v>97</v>
      </c>
      <c r="I395" s="301">
        <v>320</v>
      </c>
      <c r="J395" s="301">
        <v>110</v>
      </c>
      <c r="K395" s="301">
        <v>9</v>
      </c>
      <c r="L395" s="301">
        <f t="shared" ref="L395:L400" si="4">SUM(H395:K395)</f>
        <v>536</v>
      </c>
      <c r="M395" s="300" t="s">
        <v>867</v>
      </c>
      <c r="N395" s="283" t="s">
        <v>34</v>
      </c>
      <c r="O395" s="282" t="s">
        <v>933</v>
      </c>
    </row>
    <row r="396" spans="1:15" s="278" customFormat="1" ht="180" x14ac:dyDescent="0.3">
      <c r="A396" s="290"/>
      <c r="B396" s="328" t="s">
        <v>2</v>
      </c>
      <c r="C396" s="329" t="s">
        <v>965</v>
      </c>
      <c r="D396" s="305" t="s">
        <v>1028</v>
      </c>
      <c r="E396" s="330" t="s">
        <v>4</v>
      </c>
      <c r="F396" s="331" t="s">
        <v>932</v>
      </c>
      <c r="G396" s="305" t="s">
        <v>819</v>
      </c>
      <c r="H396" s="332">
        <v>345</v>
      </c>
      <c r="I396" s="330">
        <v>0</v>
      </c>
      <c r="J396" s="330">
        <v>15</v>
      </c>
      <c r="K396" s="330">
        <v>10</v>
      </c>
      <c r="L396" s="330">
        <f t="shared" si="4"/>
        <v>370</v>
      </c>
      <c r="M396" s="329" t="s">
        <v>931</v>
      </c>
      <c r="N396" s="333" t="s">
        <v>12</v>
      </c>
      <c r="O396" s="334" t="s">
        <v>930</v>
      </c>
    </row>
    <row r="397" spans="1:15" s="264" customFormat="1" ht="120" x14ac:dyDescent="0.3">
      <c r="A397" s="289"/>
      <c r="B397" s="271" t="s">
        <v>2</v>
      </c>
      <c r="C397" s="272" t="s">
        <v>863</v>
      </c>
      <c r="D397" s="258" t="s">
        <v>1028</v>
      </c>
      <c r="E397" s="267" t="s">
        <v>4</v>
      </c>
      <c r="F397" s="275">
        <v>45651</v>
      </c>
      <c r="G397" s="273" t="s">
        <v>819</v>
      </c>
      <c r="H397" s="276">
        <v>17</v>
      </c>
      <c r="I397" s="276">
        <v>79</v>
      </c>
      <c r="J397" s="276">
        <v>482</v>
      </c>
      <c r="K397" s="276">
        <v>24</v>
      </c>
      <c r="L397" s="276">
        <f t="shared" si="4"/>
        <v>602</v>
      </c>
      <c r="M397" s="272" t="s">
        <v>6</v>
      </c>
      <c r="N397" s="276" t="s">
        <v>12</v>
      </c>
      <c r="O397" s="277" t="s">
        <v>864</v>
      </c>
    </row>
    <row r="398" spans="1:15" ht="48.6" thickBot="1" x14ac:dyDescent="0.35">
      <c r="A398" s="291"/>
      <c r="B398" s="308" t="s">
        <v>2</v>
      </c>
      <c r="C398" s="321" t="s">
        <v>862</v>
      </c>
      <c r="D398" s="322" t="s">
        <v>1028</v>
      </c>
      <c r="E398" s="320" t="s">
        <v>4</v>
      </c>
      <c r="F398" s="335">
        <v>45651</v>
      </c>
      <c r="G398" s="322" t="s">
        <v>819</v>
      </c>
      <c r="H398" s="336">
        <v>50</v>
      </c>
      <c r="I398" s="336">
        <v>0</v>
      </c>
      <c r="J398" s="336">
        <v>10</v>
      </c>
      <c r="K398" s="336">
        <v>0</v>
      </c>
      <c r="L398" s="336">
        <f t="shared" si="4"/>
        <v>60</v>
      </c>
      <c r="M398" s="324" t="s">
        <v>6</v>
      </c>
      <c r="N398" s="336" t="s">
        <v>12</v>
      </c>
      <c r="O398" s="327" t="s">
        <v>927</v>
      </c>
    </row>
    <row r="399" spans="1:15" ht="144" x14ac:dyDescent="0.3">
      <c r="A399" s="243"/>
      <c r="B399" s="271" t="s">
        <v>8</v>
      </c>
      <c r="C399" s="268" t="s">
        <v>928</v>
      </c>
      <c r="D399" s="273" t="s">
        <v>1028</v>
      </c>
      <c r="E399" s="276" t="s">
        <v>4</v>
      </c>
      <c r="F399" s="275">
        <v>45651</v>
      </c>
      <c r="G399" s="274" t="s">
        <v>105</v>
      </c>
      <c r="H399" s="276">
        <v>6</v>
      </c>
      <c r="I399" s="276">
        <v>9</v>
      </c>
      <c r="J399" s="276">
        <v>19</v>
      </c>
      <c r="K399" s="276">
        <v>0</v>
      </c>
      <c r="L399" s="276">
        <f t="shared" si="4"/>
        <v>34</v>
      </c>
      <c r="M399" s="272" t="s">
        <v>6</v>
      </c>
      <c r="N399" s="272" t="s">
        <v>31</v>
      </c>
      <c r="O399" s="304" t="s">
        <v>929</v>
      </c>
    </row>
    <row r="400" spans="1:15" s="265" customFormat="1" ht="192" x14ac:dyDescent="0.3">
      <c r="B400" s="265" t="s">
        <v>60</v>
      </c>
      <c r="C400" s="265" t="s">
        <v>938</v>
      </c>
      <c r="D400" s="265" t="s">
        <v>280</v>
      </c>
      <c r="E400" s="265" t="s">
        <v>4</v>
      </c>
      <c r="F400" s="269">
        <v>45652</v>
      </c>
      <c r="G400" s="265" t="s">
        <v>937</v>
      </c>
      <c r="H400" s="265">
        <v>0</v>
      </c>
      <c r="I400" s="265">
        <v>0</v>
      </c>
      <c r="J400" s="265">
        <v>4</v>
      </c>
      <c r="K400" s="265">
        <v>0</v>
      </c>
      <c r="L400" s="265">
        <f t="shared" si="4"/>
        <v>4</v>
      </c>
      <c r="M400" s="265" t="s">
        <v>939</v>
      </c>
      <c r="N400" s="272" t="s">
        <v>31</v>
      </c>
      <c r="O400" s="265" t="s">
        <v>940</v>
      </c>
    </row>
    <row r="401" spans="1:15" ht="96.6" thickBot="1" x14ac:dyDescent="0.35">
      <c r="A401" s="243"/>
      <c r="B401" s="271" t="s">
        <v>2</v>
      </c>
      <c r="C401" s="271" t="s">
        <v>970</v>
      </c>
      <c r="D401" s="271" t="s">
        <v>1028</v>
      </c>
      <c r="E401" s="271" t="s">
        <v>4</v>
      </c>
      <c r="F401" s="335">
        <v>45670</v>
      </c>
      <c r="G401" s="322" t="s">
        <v>971</v>
      </c>
      <c r="H401" s="336">
        <v>0</v>
      </c>
      <c r="I401" s="336">
        <v>70</v>
      </c>
      <c r="J401" s="336">
        <v>200</v>
      </c>
      <c r="K401" s="336">
        <v>30</v>
      </c>
      <c r="L401" s="336">
        <v>300</v>
      </c>
      <c r="M401" s="324" t="s">
        <v>972</v>
      </c>
      <c r="N401" s="324" t="s">
        <v>12</v>
      </c>
      <c r="O401" s="324" t="s">
        <v>973</v>
      </c>
    </row>
    <row r="402" spans="1:15" s="161" customFormat="1" ht="36" x14ac:dyDescent="0.3">
      <c r="A402" s="263"/>
      <c r="B402" s="258" t="s">
        <v>32</v>
      </c>
      <c r="C402" s="258" t="s">
        <v>974</v>
      </c>
      <c r="D402" s="258" t="s">
        <v>1029</v>
      </c>
      <c r="E402" s="258" t="s">
        <v>4</v>
      </c>
      <c r="F402" s="210">
        <v>45624</v>
      </c>
      <c r="G402" s="258" t="s">
        <v>490</v>
      </c>
      <c r="H402" s="258">
        <v>3</v>
      </c>
      <c r="I402" s="258">
        <v>17</v>
      </c>
      <c r="J402" s="258">
        <v>30</v>
      </c>
      <c r="K402" s="258">
        <v>0</v>
      </c>
      <c r="L402" s="258">
        <v>50</v>
      </c>
      <c r="M402" s="258" t="s">
        <v>146</v>
      </c>
      <c r="N402" s="258" t="s">
        <v>12</v>
      </c>
      <c r="O402" s="258"/>
    </row>
    <row r="403" spans="1:15" s="161" customFormat="1" ht="36" x14ac:dyDescent="0.3">
      <c r="A403" s="263"/>
      <c r="B403" s="258" t="s">
        <v>32</v>
      </c>
      <c r="C403" s="258" t="s">
        <v>975</v>
      </c>
      <c r="D403" s="258" t="s">
        <v>1029</v>
      </c>
      <c r="E403" s="258" t="s">
        <v>4</v>
      </c>
      <c r="F403" s="210">
        <v>45642</v>
      </c>
      <c r="G403" s="258" t="s">
        <v>490</v>
      </c>
      <c r="H403" s="258">
        <v>0</v>
      </c>
      <c r="I403" s="258">
        <v>22</v>
      </c>
      <c r="J403" s="258">
        <v>46</v>
      </c>
      <c r="K403" s="258">
        <v>2</v>
      </c>
      <c r="L403" s="258">
        <v>70</v>
      </c>
      <c r="M403" s="258" t="s">
        <v>146</v>
      </c>
      <c r="N403" s="258" t="s">
        <v>12</v>
      </c>
      <c r="O403" s="258"/>
    </row>
    <row r="404" spans="1:15" s="161" customFormat="1" ht="24" x14ac:dyDescent="0.3">
      <c r="A404" s="263"/>
      <c r="B404" s="258" t="s">
        <v>32</v>
      </c>
      <c r="C404" s="258" t="s">
        <v>976</v>
      </c>
      <c r="D404" s="258" t="s">
        <v>1029</v>
      </c>
      <c r="E404" s="258" t="s">
        <v>4</v>
      </c>
      <c r="F404" s="210">
        <v>45654</v>
      </c>
      <c r="G404" s="258" t="s">
        <v>490</v>
      </c>
      <c r="H404" s="258">
        <v>0</v>
      </c>
      <c r="I404" s="258">
        <v>11</v>
      </c>
      <c r="J404" s="258">
        <v>36</v>
      </c>
      <c r="K404" s="258">
        <v>3</v>
      </c>
      <c r="L404" s="258">
        <v>50</v>
      </c>
      <c r="M404" s="258" t="s">
        <v>146</v>
      </c>
      <c r="N404" s="258" t="s">
        <v>12</v>
      </c>
      <c r="O404" s="258"/>
    </row>
    <row r="405" spans="1:15" s="161" customFormat="1" ht="24" x14ac:dyDescent="0.3">
      <c r="A405" s="263"/>
      <c r="B405" s="258" t="s">
        <v>32</v>
      </c>
      <c r="C405" s="258" t="s">
        <v>977</v>
      </c>
      <c r="D405" s="258" t="s">
        <v>1029</v>
      </c>
      <c r="E405" s="258" t="s">
        <v>4</v>
      </c>
      <c r="F405" s="210">
        <v>45649</v>
      </c>
      <c r="G405" s="258" t="s">
        <v>490</v>
      </c>
      <c r="H405" s="258">
        <v>0</v>
      </c>
      <c r="I405" s="258">
        <v>10</v>
      </c>
      <c r="J405" s="258">
        <v>20</v>
      </c>
      <c r="K405" s="258">
        <v>0</v>
      </c>
      <c r="L405" s="258">
        <v>30</v>
      </c>
      <c r="M405" s="258" t="s">
        <v>108</v>
      </c>
      <c r="N405" s="258" t="s">
        <v>12</v>
      </c>
      <c r="O405" s="258"/>
    </row>
    <row r="406" spans="1:15" s="161" customFormat="1" ht="24" x14ac:dyDescent="0.3">
      <c r="A406" s="263"/>
      <c r="B406" s="258" t="s">
        <v>32</v>
      </c>
      <c r="C406" s="258" t="s">
        <v>978</v>
      </c>
      <c r="D406" s="258" t="s">
        <v>1029</v>
      </c>
      <c r="E406" s="258" t="s">
        <v>4</v>
      </c>
      <c r="F406" s="210">
        <v>45646</v>
      </c>
      <c r="G406" s="258" t="s">
        <v>490</v>
      </c>
      <c r="H406" s="258">
        <v>0</v>
      </c>
      <c r="I406" s="258">
        <v>10</v>
      </c>
      <c r="J406" s="258">
        <v>20</v>
      </c>
      <c r="K406" s="258">
        <v>0</v>
      </c>
      <c r="L406" s="258">
        <v>30</v>
      </c>
      <c r="M406" s="258" t="s">
        <v>108</v>
      </c>
      <c r="N406" s="258" t="s">
        <v>12</v>
      </c>
      <c r="O406" s="258"/>
    </row>
    <row r="407" spans="1:15" s="161" customFormat="1" ht="72" x14ac:dyDescent="0.3">
      <c r="A407" s="263"/>
      <c r="B407" s="258" t="s">
        <v>2</v>
      </c>
      <c r="C407" s="258" t="s">
        <v>979</v>
      </c>
      <c r="D407" s="258" t="s">
        <v>84</v>
      </c>
      <c r="E407" s="258" t="s">
        <v>4</v>
      </c>
      <c r="F407" s="210">
        <v>45651</v>
      </c>
      <c r="G407" s="258" t="s">
        <v>824</v>
      </c>
      <c r="H407" s="258">
        <v>0</v>
      </c>
      <c r="I407" s="258">
        <v>5</v>
      </c>
      <c r="J407" s="258">
        <v>10</v>
      </c>
      <c r="K407" s="258">
        <v>25</v>
      </c>
      <c r="L407" s="258">
        <v>40</v>
      </c>
      <c r="M407" s="258" t="s">
        <v>825</v>
      </c>
      <c r="N407" s="258" t="s">
        <v>12</v>
      </c>
      <c r="O407" s="258"/>
    </row>
    <row r="408" spans="1:15" s="161" customFormat="1" ht="72" x14ac:dyDescent="0.3">
      <c r="A408" s="263"/>
      <c r="B408" s="258" t="s">
        <v>2</v>
      </c>
      <c r="C408" s="258" t="s">
        <v>980</v>
      </c>
      <c r="D408" s="258" t="s">
        <v>84</v>
      </c>
      <c r="E408" s="258" t="s">
        <v>16</v>
      </c>
      <c r="F408" s="210">
        <v>45641</v>
      </c>
      <c r="G408" s="258" t="s">
        <v>824</v>
      </c>
      <c r="H408" s="258">
        <v>0</v>
      </c>
      <c r="I408" s="258">
        <v>5</v>
      </c>
      <c r="J408" s="258">
        <v>5</v>
      </c>
      <c r="K408" s="258">
        <v>20</v>
      </c>
      <c r="L408" s="258">
        <v>30</v>
      </c>
      <c r="M408" s="258" t="s">
        <v>825</v>
      </c>
      <c r="N408" s="258" t="s">
        <v>12</v>
      </c>
      <c r="O408" s="258"/>
    </row>
    <row r="409" spans="1:15" x14ac:dyDescent="0.3">
      <c r="G409"/>
      <c r="H409"/>
    </row>
    <row r="410" spans="1:15" x14ac:dyDescent="0.3">
      <c r="G410"/>
      <c r="H410"/>
    </row>
    <row r="411" spans="1:15" x14ac:dyDescent="0.3">
      <c r="G411"/>
      <c r="H411"/>
    </row>
    <row r="412" spans="1:15" x14ac:dyDescent="0.3">
      <c r="G412"/>
      <c r="H412"/>
    </row>
    <row r="413" spans="1:15" x14ac:dyDescent="0.3">
      <c r="G413"/>
      <c r="H413"/>
    </row>
    <row r="414" spans="1:15" x14ac:dyDescent="0.3">
      <c r="G414"/>
      <c r="H414"/>
    </row>
    <row r="415" spans="1:15" x14ac:dyDescent="0.3">
      <c r="G415"/>
      <c r="H415"/>
    </row>
    <row r="416" spans="1:15" x14ac:dyDescent="0.3">
      <c r="G416"/>
      <c r="H416"/>
    </row>
    <row r="417" spans="7:8" x14ac:dyDescent="0.3">
      <c r="G417"/>
      <c r="H417"/>
    </row>
    <row r="418" spans="7:8" x14ac:dyDescent="0.3">
      <c r="G418"/>
      <c r="H418"/>
    </row>
    <row r="419" spans="7:8" x14ac:dyDescent="0.3">
      <c r="G419"/>
      <c r="H419"/>
    </row>
    <row r="420" spans="7:8" x14ac:dyDescent="0.3">
      <c r="G420"/>
      <c r="H420"/>
    </row>
    <row r="421" spans="7:8" x14ac:dyDescent="0.3">
      <c r="G421"/>
      <c r="H421"/>
    </row>
    <row r="422" spans="7:8" x14ac:dyDescent="0.3">
      <c r="G422"/>
      <c r="H422"/>
    </row>
    <row r="423" spans="7:8" x14ac:dyDescent="0.3">
      <c r="G423"/>
      <c r="H423"/>
    </row>
    <row r="424" spans="7:8" x14ac:dyDescent="0.3">
      <c r="G424"/>
      <c r="H424"/>
    </row>
    <row r="425" spans="7:8" x14ac:dyDescent="0.3">
      <c r="G425"/>
      <c r="H425"/>
    </row>
    <row r="426" spans="7:8" x14ac:dyDescent="0.3">
      <c r="G426"/>
      <c r="H426"/>
    </row>
    <row r="427" spans="7:8" x14ac:dyDescent="0.3">
      <c r="G427"/>
      <c r="H427"/>
    </row>
    <row r="428" spans="7:8" x14ac:dyDescent="0.3">
      <c r="G428"/>
      <c r="H428"/>
    </row>
    <row r="429" spans="7:8" x14ac:dyDescent="0.3">
      <c r="G429"/>
      <c r="H429"/>
    </row>
    <row r="430" spans="7:8" x14ac:dyDescent="0.3">
      <c r="G430"/>
      <c r="H430"/>
    </row>
    <row r="431" spans="7:8" x14ac:dyDescent="0.3">
      <c r="G431"/>
      <c r="H431"/>
    </row>
    <row r="432" spans="7:8" x14ac:dyDescent="0.3">
      <c r="G432"/>
      <c r="H432"/>
    </row>
    <row r="433" spans="7:8" x14ac:dyDescent="0.3">
      <c r="G433"/>
      <c r="H433"/>
    </row>
    <row r="434" spans="7:8" x14ac:dyDescent="0.3">
      <c r="G434"/>
      <c r="H434"/>
    </row>
    <row r="435" spans="7:8" x14ac:dyDescent="0.3">
      <c r="G435"/>
      <c r="H435"/>
    </row>
    <row r="436" spans="7:8" x14ac:dyDescent="0.3">
      <c r="G436"/>
      <c r="H436"/>
    </row>
    <row r="437" spans="7:8" x14ac:dyDescent="0.3">
      <c r="G437"/>
      <c r="H437"/>
    </row>
    <row r="438" spans="7:8" x14ac:dyDescent="0.3">
      <c r="G438"/>
      <c r="H438"/>
    </row>
    <row r="439" spans="7:8" x14ac:dyDescent="0.3">
      <c r="G439"/>
      <c r="H439"/>
    </row>
    <row r="440" spans="7:8" x14ac:dyDescent="0.3">
      <c r="G440"/>
      <c r="H440"/>
    </row>
    <row r="441" spans="7:8" x14ac:dyDescent="0.3">
      <c r="G441"/>
      <c r="H441"/>
    </row>
    <row r="442" spans="7:8" x14ac:dyDescent="0.3">
      <c r="G442"/>
      <c r="H442"/>
    </row>
    <row r="443" spans="7:8" x14ac:dyDescent="0.3">
      <c r="G443"/>
      <c r="H443"/>
    </row>
    <row r="444" spans="7:8" x14ac:dyDescent="0.3">
      <c r="G444"/>
      <c r="H444"/>
    </row>
    <row r="445" spans="7:8" x14ac:dyDescent="0.3">
      <c r="G445"/>
      <c r="H445"/>
    </row>
    <row r="446" spans="7:8" x14ac:dyDescent="0.3">
      <c r="G446"/>
      <c r="H446"/>
    </row>
    <row r="447" spans="7:8" x14ac:dyDescent="0.3">
      <c r="G447"/>
      <c r="H447"/>
    </row>
    <row r="448" spans="7:8" x14ac:dyDescent="0.3">
      <c r="G448"/>
      <c r="H448"/>
    </row>
    <row r="449" spans="7:8" x14ac:dyDescent="0.3">
      <c r="G449"/>
      <c r="H449"/>
    </row>
    <row r="450" spans="7:8" x14ac:dyDescent="0.3">
      <c r="G450"/>
      <c r="H450"/>
    </row>
    <row r="451" spans="7:8" x14ac:dyDescent="0.3">
      <c r="G451"/>
      <c r="H451"/>
    </row>
    <row r="452" spans="7:8" x14ac:dyDescent="0.3">
      <c r="G452"/>
      <c r="H452"/>
    </row>
    <row r="453" spans="7:8" x14ac:dyDescent="0.3">
      <c r="G453"/>
      <c r="H453"/>
    </row>
    <row r="454" spans="7:8" x14ac:dyDescent="0.3">
      <c r="G454"/>
      <c r="H454"/>
    </row>
    <row r="455" spans="7:8" x14ac:dyDescent="0.3">
      <c r="G455"/>
      <c r="H455"/>
    </row>
    <row r="456" spans="7:8" x14ac:dyDescent="0.3">
      <c r="G456"/>
      <c r="H456"/>
    </row>
    <row r="457" spans="7:8" x14ac:dyDescent="0.3">
      <c r="G457"/>
      <c r="H457"/>
    </row>
    <row r="458" spans="7:8" x14ac:dyDescent="0.3">
      <c r="G458"/>
      <c r="H458"/>
    </row>
    <row r="459" spans="7:8" x14ac:dyDescent="0.3">
      <c r="G459"/>
      <c r="H459"/>
    </row>
    <row r="460" spans="7:8" x14ac:dyDescent="0.3">
      <c r="G460"/>
      <c r="H460"/>
    </row>
    <row r="461" spans="7:8" x14ac:dyDescent="0.3">
      <c r="G461"/>
      <c r="H461"/>
    </row>
    <row r="462" spans="7:8" x14ac:dyDescent="0.3">
      <c r="G462"/>
      <c r="H462"/>
    </row>
    <row r="463" spans="7:8" x14ac:dyDescent="0.3">
      <c r="G463"/>
      <c r="H463"/>
    </row>
    <row r="464" spans="7:8" x14ac:dyDescent="0.3">
      <c r="G464"/>
      <c r="H464"/>
    </row>
    <row r="465" spans="7:8" x14ac:dyDescent="0.3">
      <c r="G465"/>
      <c r="H465"/>
    </row>
    <row r="466" spans="7:8" x14ac:dyDescent="0.3">
      <c r="G466"/>
      <c r="H466"/>
    </row>
    <row r="467" spans="7:8" x14ac:dyDescent="0.3">
      <c r="G467"/>
      <c r="H467"/>
    </row>
    <row r="468" spans="7:8" x14ac:dyDescent="0.3">
      <c r="G468"/>
      <c r="H468"/>
    </row>
    <row r="469" spans="7:8" x14ac:dyDescent="0.3">
      <c r="G469"/>
      <c r="H469"/>
    </row>
    <row r="470" spans="7:8" x14ac:dyDescent="0.3">
      <c r="G470"/>
      <c r="H470"/>
    </row>
    <row r="471" spans="7:8" x14ac:dyDescent="0.3">
      <c r="G471"/>
      <c r="H471"/>
    </row>
    <row r="472" spans="7:8" x14ac:dyDescent="0.3">
      <c r="G472"/>
      <c r="H472"/>
    </row>
    <row r="473" spans="7:8" x14ac:dyDescent="0.3">
      <c r="G473"/>
      <c r="H473"/>
    </row>
    <row r="474" spans="7:8" x14ac:dyDescent="0.3">
      <c r="G474"/>
      <c r="H474"/>
    </row>
    <row r="475" spans="7:8" x14ac:dyDescent="0.3">
      <c r="G475"/>
      <c r="H475"/>
    </row>
    <row r="476" spans="7:8" x14ac:dyDescent="0.3">
      <c r="G476"/>
      <c r="H476"/>
    </row>
    <row r="477" spans="7:8" x14ac:dyDescent="0.3">
      <c r="G477"/>
      <c r="H477"/>
    </row>
    <row r="478" spans="7:8" x14ac:dyDescent="0.3">
      <c r="G478"/>
      <c r="H478"/>
    </row>
    <row r="479" spans="7:8" x14ac:dyDescent="0.3">
      <c r="G479"/>
      <c r="H479"/>
    </row>
    <row r="480" spans="7:8" x14ac:dyDescent="0.3">
      <c r="G480"/>
      <c r="H480"/>
    </row>
    <row r="481" spans="7:8" x14ac:dyDescent="0.3">
      <c r="G481"/>
      <c r="H481"/>
    </row>
    <row r="482" spans="7:8" x14ac:dyDescent="0.3">
      <c r="G482"/>
      <c r="H482"/>
    </row>
    <row r="483" spans="7:8" x14ac:dyDescent="0.3">
      <c r="G483"/>
      <c r="H483"/>
    </row>
    <row r="484" spans="7:8" x14ac:dyDescent="0.3">
      <c r="G484"/>
      <c r="H484"/>
    </row>
    <row r="485" spans="7:8" x14ac:dyDescent="0.3">
      <c r="G485"/>
      <c r="H485"/>
    </row>
    <row r="486" spans="7:8" x14ac:dyDescent="0.3">
      <c r="G486"/>
      <c r="H486"/>
    </row>
    <row r="487" spans="7:8" x14ac:dyDescent="0.3">
      <c r="G487"/>
      <c r="H487"/>
    </row>
    <row r="488" spans="7:8" x14ac:dyDescent="0.3">
      <c r="G488"/>
      <c r="H488"/>
    </row>
    <row r="489" spans="7:8" x14ac:dyDescent="0.3">
      <c r="G489"/>
      <c r="H489"/>
    </row>
    <row r="490" spans="7:8" x14ac:dyDescent="0.3">
      <c r="G490"/>
      <c r="H490"/>
    </row>
    <row r="491" spans="7:8" x14ac:dyDescent="0.3">
      <c r="G491"/>
      <c r="H491"/>
    </row>
    <row r="492" spans="7:8" x14ac:dyDescent="0.3">
      <c r="G492"/>
      <c r="H492"/>
    </row>
    <row r="493" spans="7:8" x14ac:dyDescent="0.3">
      <c r="G493"/>
      <c r="H493"/>
    </row>
    <row r="494" spans="7:8" x14ac:dyDescent="0.3">
      <c r="G494"/>
      <c r="H494"/>
    </row>
    <row r="495" spans="7:8" x14ac:dyDescent="0.3">
      <c r="G495"/>
      <c r="H495"/>
    </row>
    <row r="496" spans="7:8" x14ac:dyDescent="0.3">
      <c r="G496"/>
      <c r="H496"/>
    </row>
    <row r="497" spans="7:8" x14ac:dyDescent="0.3">
      <c r="G497"/>
      <c r="H497"/>
    </row>
    <row r="498" spans="7:8" x14ac:dyDescent="0.3">
      <c r="G498"/>
      <c r="H498"/>
    </row>
    <row r="499" spans="7:8" x14ac:dyDescent="0.3">
      <c r="G499"/>
      <c r="H499"/>
    </row>
    <row r="500" spans="7:8" x14ac:dyDescent="0.3">
      <c r="G500"/>
      <c r="H500"/>
    </row>
    <row r="501" spans="7:8" x14ac:dyDescent="0.3">
      <c r="G501"/>
      <c r="H501"/>
    </row>
    <row r="502" spans="7:8" x14ac:dyDescent="0.3">
      <c r="G502"/>
      <c r="H502"/>
    </row>
    <row r="503" spans="7:8" x14ac:dyDescent="0.3">
      <c r="G503"/>
      <c r="H503"/>
    </row>
    <row r="504" spans="7:8" x14ac:dyDescent="0.3">
      <c r="G504"/>
      <c r="H504"/>
    </row>
    <row r="505" spans="7:8" x14ac:dyDescent="0.3">
      <c r="G505"/>
      <c r="H505"/>
    </row>
    <row r="506" spans="7:8" x14ac:dyDescent="0.3">
      <c r="G506"/>
      <c r="H506"/>
    </row>
    <row r="507" spans="7:8" x14ac:dyDescent="0.3">
      <c r="G507"/>
      <c r="H507"/>
    </row>
    <row r="508" spans="7:8" x14ac:dyDescent="0.3">
      <c r="G508"/>
      <c r="H508"/>
    </row>
    <row r="509" spans="7:8" x14ac:dyDescent="0.3">
      <c r="G509"/>
      <c r="H509"/>
    </row>
    <row r="510" spans="7:8" x14ac:dyDescent="0.3">
      <c r="G510"/>
      <c r="H510"/>
    </row>
    <row r="511" spans="7:8" x14ac:dyDescent="0.3">
      <c r="G511"/>
      <c r="H511"/>
    </row>
    <row r="512" spans="7:8" x14ac:dyDescent="0.3">
      <c r="G512"/>
      <c r="H512"/>
    </row>
    <row r="513" spans="7:8" x14ac:dyDescent="0.3">
      <c r="G513"/>
      <c r="H513"/>
    </row>
    <row r="514" spans="7:8" x14ac:dyDescent="0.3">
      <c r="G514"/>
      <c r="H514"/>
    </row>
    <row r="515" spans="7:8" x14ac:dyDescent="0.3">
      <c r="G515"/>
      <c r="H515"/>
    </row>
    <row r="516" spans="7:8" x14ac:dyDescent="0.3">
      <c r="G516"/>
      <c r="H516"/>
    </row>
    <row r="517" spans="7:8" x14ac:dyDescent="0.3">
      <c r="G517"/>
      <c r="H517"/>
    </row>
    <row r="518" spans="7:8" x14ac:dyDescent="0.3">
      <c r="G518"/>
      <c r="H518"/>
    </row>
    <row r="519" spans="7:8" x14ac:dyDescent="0.3">
      <c r="G519"/>
      <c r="H519"/>
    </row>
    <row r="520" spans="7:8" x14ac:dyDescent="0.3">
      <c r="G520"/>
      <c r="H520"/>
    </row>
    <row r="521" spans="7:8" x14ac:dyDescent="0.3">
      <c r="G521"/>
      <c r="H521"/>
    </row>
    <row r="522" spans="7:8" x14ac:dyDescent="0.3">
      <c r="G522"/>
      <c r="H522"/>
    </row>
    <row r="523" spans="7:8" x14ac:dyDescent="0.3">
      <c r="G523"/>
      <c r="H523"/>
    </row>
    <row r="524" spans="7:8" x14ac:dyDescent="0.3">
      <c r="G524"/>
      <c r="H524"/>
    </row>
    <row r="525" spans="7:8" x14ac:dyDescent="0.3">
      <c r="G525"/>
      <c r="H525"/>
    </row>
    <row r="526" spans="7:8" x14ac:dyDescent="0.3">
      <c r="G526"/>
      <c r="H526"/>
    </row>
    <row r="527" spans="7:8" x14ac:dyDescent="0.3">
      <c r="G527"/>
      <c r="H527"/>
    </row>
    <row r="528" spans="7:8" x14ac:dyDescent="0.3">
      <c r="G528"/>
      <c r="H528"/>
    </row>
    <row r="529" spans="7:8" x14ac:dyDescent="0.3">
      <c r="G529"/>
      <c r="H529"/>
    </row>
    <row r="530" spans="7:8" x14ac:dyDescent="0.3">
      <c r="G530"/>
      <c r="H530"/>
    </row>
    <row r="531" spans="7:8" x14ac:dyDescent="0.3">
      <c r="G531"/>
      <c r="H531"/>
    </row>
    <row r="532" spans="7:8" x14ac:dyDescent="0.3">
      <c r="G532"/>
      <c r="H532"/>
    </row>
    <row r="533" spans="7:8" x14ac:dyDescent="0.3">
      <c r="G533"/>
      <c r="H533"/>
    </row>
    <row r="534" spans="7:8" x14ac:dyDescent="0.3">
      <c r="G534"/>
      <c r="H534"/>
    </row>
    <row r="535" spans="7:8" x14ac:dyDescent="0.3">
      <c r="G535"/>
      <c r="H535"/>
    </row>
    <row r="536" spans="7:8" x14ac:dyDescent="0.3">
      <c r="G536"/>
      <c r="H536"/>
    </row>
    <row r="537" spans="7:8" x14ac:dyDescent="0.3">
      <c r="G537"/>
      <c r="H537"/>
    </row>
    <row r="538" spans="7:8" x14ac:dyDescent="0.3">
      <c r="G538"/>
      <c r="H538"/>
    </row>
    <row r="539" spans="7:8" x14ac:dyDescent="0.3">
      <c r="G539"/>
      <c r="H539"/>
    </row>
    <row r="540" spans="7:8" x14ac:dyDescent="0.3">
      <c r="G540"/>
      <c r="H540"/>
    </row>
    <row r="541" spans="7:8" x14ac:dyDescent="0.3">
      <c r="G541"/>
      <c r="H541"/>
    </row>
    <row r="542" spans="7:8" x14ac:dyDescent="0.3">
      <c r="G542"/>
      <c r="H542"/>
    </row>
    <row r="543" spans="7:8" x14ac:dyDescent="0.3">
      <c r="G543"/>
      <c r="H543"/>
    </row>
    <row r="544" spans="7:8" x14ac:dyDescent="0.3">
      <c r="G544"/>
      <c r="H544"/>
    </row>
    <row r="545" spans="7:8" x14ac:dyDescent="0.3">
      <c r="G545"/>
      <c r="H545"/>
    </row>
    <row r="546" spans="7:8" x14ac:dyDescent="0.3">
      <c r="G546"/>
      <c r="H546"/>
    </row>
    <row r="547" spans="7:8" x14ac:dyDescent="0.3">
      <c r="G547"/>
      <c r="H547"/>
    </row>
    <row r="548" spans="7:8" x14ac:dyDescent="0.3">
      <c r="G548"/>
      <c r="H548"/>
    </row>
    <row r="549" spans="7:8" x14ac:dyDescent="0.3">
      <c r="G549"/>
      <c r="H549"/>
    </row>
    <row r="550" spans="7:8" x14ac:dyDescent="0.3">
      <c r="G550"/>
      <c r="H550"/>
    </row>
    <row r="551" spans="7:8" x14ac:dyDescent="0.3">
      <c r="G551"/>
      <c r="H551"/>
    </row>
    <row r="552" spans="7:8" x14ac:dyDescent="0.3">
      <c r="G552"/>
      <c r="H552"/>
    </row>
    <row r="553" spans="7:8" x14ac:dyDescent="0.3">
      <c r="G553"/>
      <c r="H553"/>
    </row>
    <row r="554" spans="7:8" x14ac:dyDescent="0.3">
      <c r="G554"/>
      <c r="H554"/>
    </row>
    <row r="555" spans="7:8" x14ac:dyDescent="0.3">
      <c r="G555"/>
      <c r="H555"/>
    </row>
    <row r="556" spans="7:8" x14ac:dyDescent="0.3">
      <c r="G556"/>
      <c r="H556"/>
    </row>
    <row r="557" spans="7:8" x14ac:dyDescent="0.3">
      <c r="G557"/>
      <c r="H557"/>
    </row>
    <row r="558" spans="7:8" x14ac:dyDescent="0.3">
      <c r="G558"/>
      <c r="H558"/>
    </row>
    <row r="559" spans="7:8" x14ac:dyDescent="0.3">
      <c r="G559"/>
      <c r="H559"/>
    </row>
    <row r="560" spans="7:8" x14ac:dyDescent="0.3">
      <c r="G560"/>
      <c r="H560"/>
    </row>
    <row r="561" spans="7:8" x14ac:dyDescent="0.3">
      <c r="G561"/>
      <c r="H561"/>
    </row>
  </sheetData>
  <autoFilter ref="A1:P408"/>
  <pageMargins left="0.7" right="0.7" top="0.75" bottom="0.75" header="0.3" footer="0.3"/>
  <pageSetup paperSize="9" scale="40"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0"/>
  <sheetViews>
    <sheetView tabSelected="1" topLeftCell="A13" workbookViewId="0">
      <selection activeCell="R3" sqref="R3"/>
    </sheetView>
  </sheetViews>
  <sheetFormatPr defaultRowHeight="14.4" x14ac:dyDescent="0.3"/>
  <sheetData>
    <row r="1" spans="1:15" ht="60" x14ac:dyDescent="0.3">
      <c r="A1" s="243"/>
      <c r="B1" s="343" t="s">
        <v>2</v>
      </c>
      <c r="C1" s="343" t="s">
        <v>981</v>
      </c>
      <c r="D1" s="343" t="s">
        <v>1028</v>
      </c>
      <c r="E1" s="343" t="s">
        <v>4</v>
      </c>
      <c r="F1" s="344">
        <v>45352</v>
      </c>
      <c r="G1" s="343" t="s">
        <v>694</v>
      </c>
      <c r="H1" s="343">
        <v>3</v>
      </c>
      <c r="I1" s="345">
        <v>15</v>
      </c>
      <c r="J1" s="345">
        <v>32</v>
      </c>
      <c r="K1" s="345">
        <v>0</v>
      </c>
      <c r="L1" s="343">
        <f>SUBTOTAL(9,H1:K1)</f>
        <v>50</v>
      </c>
      <c r="M1" s="343" t="s">
        <v>14</v>
      </c>
      <c r="N1" s="343" t="s">
        <v>12</v>
      </c>
      <c r="O1" s="343"/>
    </row>
    <row r="2" spans="1:15" ht="60" x14ac:dyDescent="0.3">
      <c r="A2" s="243"/>
      <c r="B2" s="343" t="s">
        <v>2</v>
      </c>
      <c r="C2" s="343" t="s">
        <v>982</v>
      </c>
      <c r="D2" s="343" t="s">
        <v>1028</v>
      </c>
      <c r="E2" s="343" t="s">
        <v>4</v>
      </c>
      <c r="F2" s="344"/>
      <c r="G2" s="343" t="s">
        <v>694</v>
      </c>
      <c r="H2" s="343">
        <v>3</v>
      </c>
      <c r="I2" s="345">
        <v>15</v>
      </c>
      <c r="J2" s="345">
        <v>32</v>
      </c>
      <c r="K2" s="345">
        <v>0</v>
      </c>
      <c r="L2" s="343">
        <f>SUBTOTAL(9,H2:K2)</f>
        <v>50</v>
      </c>
      <c r="M2" s="343" t="s">
        <v>14</v>
      </c>
      <c r="N2" s="343" t="s">
        <v>12</v>
      </c>
      <c r="O2" s="343"/>
    </row>
    <row r="3" spans="1:15" ht="60" x14ac:dyDescent="0.3">
      <c r="A3" s="243"/>
      <c r="B3" s="343" t="s">
        <v>2</v>
      </c>
      <c r="C3" s="343" t="s">
        <v>983</v>
      </c>
      <c r="D3" s="343" t="s">
        <v>1028</v>
      </c>
      <c r="E3" s="343" t="s">
        <v>4</v>
      </c>
      <c r="F3" s="344"/>
      <c r="G3" s="343" t="s">
        <v>694</v>
      </c>
      <c r="H3" s="343"/>
      <c r="I3" s="345"/>
      <c r="J3" s="345"/>
      <c r="K3" s="345"/>
      <c r="L3" s="343">
        <v>30</v>
      </c>
      <c r="M3" s="343" t="s">
        <v>14</v>
      </c>
      <c r="N3" s="343" t="s">
        <v>12</v>
      </c>
      <c r="O3" s="343"/>
    </row>
    <row r="4" spans="1:15" ht="60" x14ac:dyDescent="0.3">
      <c r="A4" s="243"/>
      <c r="B4" s="343" t="s">
        <v>1010</v>
      </c>
      <c r="C4" s="343" t="s">
        <v>984</v>
      </c>
      <c r="D4" s="343" t="s">
        <v>1028</v>
      </c>
      <c r="E4" s="343" t="s">
        <v>15</v>
      </c>
      <c r="F4" s="344"/>
      <c r="G4" s="343" t="s">
        <v>956</v>
      </c>
      <c r="H4" s="343"/>
      <c r="I4" s="343"/>
      <c r="J4" s="343"/>
      <c r="K4" s="343"/>
      <c r="L4" s="343">
        <v>163</v>
      </c>
      <c r="M4" s="343" t="s">
        <v>953</v>
      </c>
      <c r="N4" s="343" t="s">
        <v>12</v>
      </c>
      <c r="O4" s="343"/>
    </row>
    <row r="5" spans="1:15" ht="84" x14ac:dyDescent="0.3">
      <c r="A5" s="243"/>
      <c r="B5" s="343" t="s">
        <v>3</v>
      </c>
      <c r="C5" s="343" t="s">
        <v>985</v>
      </c>
      <c r="D5" s="343" t="s">
        <v>1028</v>
      </c>
      <c r="E5" s="343" t="s">
        <v>15</v>
      </c>
      <c r="F5" s="344"/>
      <c r="G5" s="343"/>
      <c r="H5" s="343"/>
      <c r="I5" s="343"/>
      <c r="J5" s="343"/>
      <c r="K5" s="343"/>
      <c r="L5" s="343">
        <v>150</v>
      </c>
      <c r="M5" s="343" t="s">
        <v>82</v>
      </c>
      <c r="N5" s="343" t="s">
        <v>12</v>
      </c>
      <c r="O5" s="343"/>
    </row>
    <row r="6" spans="1:15" ht="48" x14ac:dyDescent="0.3">
      <c r="A6" s="243"/>
      <c r="B6" s="343" t="s">
        <v>3</v>
      </c>
      <c r="C6" s="343" t="s">
        <v>986</v>
      </c>
      <c r="D6" s="343" t="s">
        <v>1028</v>
      </c>
      <c r="E6" s="343" t="s">
        <v>15</v>
      </c>
      <c r="F6" s="344"/>
      <c r="G6" s="343"/>
      <c r="H6" s="343"/>
      <c r="I6" s="343"/>
      <c r="J6" s="343"/>
      <c r="K6" s="343"/>
      <c r="L6" s="343">
        <v>100</v>
      </c>
      <c r="M6" s="343" t="s">
        <v>82</v>
      </c>
      <c r="N6" s="343" t="s">
        <v>12</v>
      </c>
      <c r="O6" s="343"/>
    </row>
    <row r="7" spans="1:15" ht="72" x14ac:dyDescent="0.3">
      <c r="A7" s="243"/>
      <c r="B7" s="343" t="s">
        <v>365</v>
      </c>
      <c r="C7" s="343" t="s">
        <v>987</v>
      </c>
      <c r="D7" s="343" t="s">
        <v>1028</v>
      </c>
      <c r="E7" s="343" t="s">
        <v>15</v>
      </c>
      <c r="F7" s="344"/>
      <c r="G7" s="343"/>
      <c r="H7" s="343"/>
      <c r="I7" s="343"/>
      <c r="J7" s="343"/>
      <c r="K7" s="343"/>
      <c r="L7" s="343">
        <v>100</v>
      </c>
      <c r="M7" s="343" t="s">
        <v>623</v>
      </c>
      <c r="N7" s="343" t="s">
        <v>12</v>
      </c>
      <c r="O7" s="343"/>
    </row>
    <row r="8" spans="1:15" ht="48" x14ac:dyDescent="0.3">
      <c r="A8" s="243"/>
      <c r="B8" s="343" t="s">
        <v>2</v>
      </c>
      <c r="C8" s="346" t="s">
        <v>988</v>
      </c>
      <c r="D8" s="343" t="s">
        <v>1028</v>
      </c>
      <c r="E8" s="343" t="s">
        <v>16</v>
      </c>
      <c r="F8" s="344"/>
      <c r="G8" s="343"/>
      <c r="H8" s="343"/>
      <c r="I8" s="343"/>
      <c r="J8" s="343"/>
      <c r="K8" s="343"/>
      <c r="L8" s="343">
        <v>30</v>
      </c>
      <c r="M8" s="343" t="s">
        <v>613</v>
      </c>
      <c r="N8" s="343" t="s">
        <v>12</v>
      </c>
      <c r="O8" s="343"/>
    </row>
    <row r="9" spans="1:15" ht="48" x14ac:dyDescent="0.3">
      <c r="A9" s="243"/>
      <c r="B9" s="343" t="s">
        <v>2</v>
      </c>
      <c r="C9" s="346" t="s">
        <v>989</v>
      </c>
      <c r="D9" s="343" t="s">
        <v>1028</v>
      </c>
      <c r="E9" s="343" t="s">
        <v>16</v>
      </c>
      <c r="F9" s="344"/>
      <c r="G9" s="343"/>
      <c r="H9" s="343"/>
      <c r="I9" s="343"/>
      <c r="J9" s="343"/>
      <c r="K9" s="343"/>
      <c r="L9" s="343">
        <v>150</v>
      </c>
      <c r="M9" s="343" t="s">
        <v>613</v>
      </c>
      <c r="N9" s="343" t="s">
        <v>12</v>
      </c>
      <c r="O9" s="343"/>
    </row>
    <row r="10" spans="1:15" ht="48" x14ac:dyDescent="0.3">
      <c r="A10" s="243"/>
      <c r="B10" s="343" t="s">
        <v>2</v>
      </c>
      <c r="C10" s="346" t="s">
        <v>990</v>
      </c>
      <c r="D10" s="343" t="s">
        <v>1028</v>
      </c>
      <c r="E10" s="343" t="s">
        <v>16</v>
      </c>
      <c r="F10" s="344"/>
      <c r="G10" s="343"/>
      <c r="H10" s="343"/>
      <c r="I10" s="343"/>
      <c r="J10" s="343"/>
      <c r="K10" s="343"/>
      <c r="L10" s="343">
        <v>50</v>
      </c>
      <c r="M10" s="343" t="s">
        <v>613</v>
      </c>
      <c r="N10" s="343" t="s">
        <v>12</v>
      </c>
      <c r="O10" s="343"/>
    </row>
    <row r="11" spans="1:15" ht="60" x14ac:dyDescent="0.3">
      <c r="A11" s="243"/>
      <c r="B11" s="343" t="s">
        <v>2</v>
      </c>
      <c r="C11" s="346" t="s">
        <v>991</v>
      </c>
      <c r="D11" s="343" t="s">
        <v>1028</v>
      </c>
      <c r="E11" s="343" t="s">
        <v>16</v>
      </c>
      <c r="F11" s="344"/>
      <c r="G11" s="343"/>
      <c r="H11" s="343"/>
      <c r="I11" s="343"/>
      <c r="J11" s="343"/>
      <c r="K11" s="343"/>
      <c r="L11" s="343">
        <v>300</v>
      </c>
      <c r="M11" s="343" t="s">
        <v>613</v>
      </c>
      <c r="N11" s="343" t="s">
        <v>12</v>
      </c>
      <c r="O11" s="343"/>
    </row>
    <row r="12" spans="1:15" ht="60" x14ac:dyDescent="0.3">
      <c r="A12" s="243"/>
      <c r="B12" s="343" t="s">
        <v>2</v>
      </c>
      <c r="C12" s="346" t="s">
        <v>992</v>
      </c>
      <c r="D12" s="343" t="s">
        <v>1028</v>
      </c>
      <c r="E12" s="343" t="s">
        <v>16</v>
      </c>
      <c r="F12" s="344"/>
      <c r="G12" s="343"/>
      <c r="H12" s="343"/>
      <c r="I12" s="343"/>
      <c r="J12" s="343"/>
      <c r="K12" s="343"/>
      <c r="L12" s="343">
        <v>50</v>
      </c>
      <c r="M12" s="343" t="s">
        <v>470</v>
      </c>
      <c r="N12" s="343" t="s">
        <v>12</v>
      </c>
      <c r="O12" s="343"/>
    </row>
    <row r="13" spans="1:15" ht="48" x14ac:dyDescent="0.3">
      <c r="A13" s="243"/>
      <c r="B13" s="343" t="s">
        <v>2</v>
      </c>
      <c r="C13" s="346" t="s">
        <v>993</v>
      </c>
      <c r="D13" s="343" t="s">
        <v>1028</v>
      </c>
      <c r="E13" s="343" t="s">
        <v>16</v>
      </c>
      <c r="F13" s="344"/>
      <c r="G13" s="343"/>
      <c r="H13" s="343"/>
      <c r="I13" s="343"/>
      <c r="J13" s="343"/>
      <c r="K13" s="343"/>
      <c r="L13" s="343">
        <v>20</v>
      </c>
      <c r="M13" s="343" t="s">
        <v>470</v>
      </c>
      <c r="N13" s="343" t="s">
        <v>12</v>
      </c>
      <c r="O13" s="343"/>
    </row>
    <row r="14" spans="1:15" ht="48" x14ac:dyDescent="0.3">
      <c r="A14" s="243"/>
      <c r="B14" s="343" t="s">
        <v>2</v>
      </c>
      <c r="C14" s="346" t="s">
        <v>994</v>
      </c>
      <c r="D14" s="343" t="s">
        <v>1028</v>
      </c>
      <c r="E14" s="343" t="s">
        <v>16</v>
      </c>
      <c r="F14" s="344"/>
      <c r="G14" s="343"/>
      <c r="H14" s="343"/>
      <c r="I14" s="343"/>
      <c r="J14" s="343"/>
      <c r="K14" s="343"/>
      <c r="L14" s="343">
        <v>25</v>
      </c>
      <c r="M14" s="343" t="s">
        <v>470</v>
      </c>
      <c r="N14" s="343" t="s">
        <v>12</v>
      </c>
      <c r="O14" s="343"/>
    </row>
    <row r="15" spans="1:15" ht="48" x14ac:dyDescent="0.3">
      <c r="A15" s="243"/>
      <c r="B15" s="343" t="s">
        <v>2</v>
      </c>
      <c r="C15" s="346" t="s">
        <v>995</v>
      </c>
      <c r="D15" s="343" t="s">
        <v>1028</v>
      </c>
      <c r="E15" s="343" t="s">
        <v>16</v>
      </c>
      <c r="F15" s="344"/>
      <c r="G15" s="343"/>
      <c r="H15" s="343"/>
      <c r="I15" s="343"/>
      <c r="J15" s="343"/>
      <c r="K15" s="343"/>
      <c r="L15" s="343">
        <v>35</v>
      </c>
      <c r="M15" s="343" t="s">
        <v>470</v>
      </c>
      <c r="N15" s="343" t="s">
        <v>12</v>
      </c>
      <c r="O15" s="343"/>
    </row>
    <row r="16" spans="1:15" ht="48" x14ac:dyDescent="0.3">
      <c r="A16" s="243"/>
      <c r="B16" s="343" t="s">
        <v>2</v>
      </c>
      <c r="C16" s="346" t="s">
        <v>996</v>
      </c>
      <c r="D16" s="343" t="s">
        <v>1028</v>
      </c>
      <c r="E16" s="343" t="s">
        <v>16</v>
      </c>
      <c r="F16" s="344"/>
      <c r="G16" s="343"/>
      <c r="H16" s="343"/>
      <c r="I16" s="343"/>
      <c r="J16" s="343"/>
      <c r="K16" s="343"/>
      <c r="L16" s="343">
        <v>40</v>
      </c>
      <c r="M16" s="343" t="s">
        <v>470</v>
      </c>
      <c r="N16" s="343" t="s">
        <v>12</v>
      </c>
      <c r="O16" s="343"/>
    </row>
    <row r="17" spans="1:15" ht="48" x14ac:dyDescent="0.3">
      <c r="A17" s="243"/>
      <c r="B17" s="343" t="s">
        <v>2</v>
      </c>
      <c r="C17" s="346" t="s">
        <v>997</v>
      </c>
      <c r="D17" s="343" t="s">
        <v>1028</v>
      </c>
      <c r="E17" s="343" t="s">
        <v>16</v>
      </c>
      <c r="F17" s="344"/>
      <c r="G17" s="343"/>
      <c r="H17" s="343"/>
      <c r="I17" s="343"/>
      <c r="J17" s="343"/>
      <c r="K17" s="343"/>
      <c r="L17" s="343">
        <v>20</v>
      </c>
      <c r="M17" s="343" t="s">
        <v>470</v>
      </c>
      <c r="N17" s="343" t="s">
        <v>12</v>
      </c>
      <c r="O17" s="343"/>
    </row>
    <row r="18" spans="1:15" ht="48" x14ac:dyDescent="0.3">
      <c r="A18" s="243"/>
      <c r="B18" s="343" t="s">
        <v>2</v>
      </c>
      <c r="C18" s="346" t="s">
        <v>998</v>
      </c>
      <c r="D18" s="343" t="s">
        <v>1028</v>
      </c>
      <c r="E18" s="343" t="s">
        <v>16</v>
      </c>
      <c r="F18" s="344"/>
      <c r="G18" s="343"/>
      <c r="H18" s="343"/>
      <c r="I18" s="343"/>
      <c r="J18" s="343"/>
      <c r="K18" s="343"/>
      <c r="L18" s="343">
        <v>25</v>
      </c>
      <c r="M18" s="343" t="s">
        <v>470</v>
      </c>
      <c r="N18" s="343" t="s">
        <v>12</v>
      </c>
      <c r="O18" s="343"/>
    </row>
    <row r="19" spans="1:15" ht="60" x14ac:dyDescent="0.3">
      <c r="A19" s="243"/>
      <c r="B19" s="343" t="s">
        <v>2</v>
      </c>
      <c r="C19" s="346" t="s">
        <v>999</v>
      </c>
      <c r="D19" s="343" t="s">
        <v>1028</v>
      </c>
      <c r="E19" s="343" t="s">
        <v>16</v>
      </c>
      <c r="F19" s="344"/>
      <c r="G19" s="343"/>
      <c r="H19" s="343"/>
      <c r="I19" s="343"/>
      <c r="J19" s="343"/>
      <c r="K19" s="343"/>
      <c r="L19" s="343">
        <v>60</v>
      </c>
      <c r="M19" s="343" t="s">
        <v>368</v>
      </c>
      <c r="N19" s="343" t="s">
        <v>12</v>
      </c>
      <c r="O19" s="343"/>
    </row>
    <row r="20" spans="1:15" ht="60" x14ac:dyDescent="0.3">
      <c r="A20" s="243"/>
      <c r="B20" s="343" t="s">
        <v>2</v>
      </c>
      <c r="C20" s="346" t="s">
        <v>1000</v>
      </c>
      <c r="D20" s="343" t="s">
        <v>1028</v>
      </c>
      <c r="E20" s="343" t="s">
        <v>16</v>
      </c>
      <c r="F20" s="344"/>
      <c r="G20" s="343"/>
      <c r="H20" s="343"/>
      <c r="I20" s="343"/>
      <c r="J20" s="343"/>
      <c r="K20" s="343"/>
      <c r="L20" s="343">
        <v>50</v>
      </c>
      <c r="M20" s="343" t="s">
        <v>368</v>
      </c>
      <c r="N20" s="343" t="s">
        <v>12</v>
      </c>
      <c r="O20" s="343"/>
    </row>
    <row r="21" spans="1:15" ht="60" x14ac:dyDescent="0.3">
      <c r="A21" s="243"/>
      <c r="B21" s="343" t="s">
        <v>2</v>
      </c>
      <c r="C21" s="346" t="s">
        <v>1001</v>
      </c>
      <c r="D21" s="343" t="s">
        <v>1028</v>
      </c>
      <c r="E21" s="343" t="s">
        <v>16</v>
      </c>
      <c r="F21" s="344"/>
      <c r="G21" s="343"/>
      <c r="H21" s="343"/>
      <c r="I21" s="343"/>
      <c r="J21" s="343"/>
      <c r="K21" s="343"/>
      <c r="L21" s="343">
        <v>55</v>
      </c>
      <c r="M21" s="343" t="s">
        <v>368</v>
      </c>
      <c r="N21" s="343" t="s">
        <v>12</v>
      </c>
      <c r="O21" s="343"/>
    </row>
    <row r="22" spans="1:15" ht="60" x14ac:dyDescent="0.3">
      <c r="A22" s="243"/>
      <c r="B22" s="343" t="s">
        <v>2</v>
      </c>
      <c r="C22" s="346" t="s">
        <v>1002</v>
      </c>
      <c r="D22" s="343" t="s">
        <v>1028</v>
      </c>
      <c r="E22" s="343" t="s">
        <v>16</v>
      </c>
      <c r="F22" s="344"/>
      <c r="G22" s="343"/>
      <c r="H22" s="343"/>
      <c r="I22" s="343"/>
      <c r="J22" s="343"/>
      <c r="K22" s="343"/>
      <c r="L22" s="343">
        <v>30</v>
      </c>
      <c r="M22" s="343" t="s">
        <v>368</v>
      </c>
      <c r="N22" s="343" t="s">
        <v>12</v>
      </c>
      <c r="O22" s="343"/>
    </row>
    <row r="23" spans="1:15" ht="60" x14ac:dyDescent="0.3">
      <c r="A23" s="243"/>
      <c r="B23" s="343" t="s">
        <v>2</v>
      </c>
      <c r="C23" s="346" t="s">
        <v>1003</v>
      </c>
      <c r="D23" s="343" t="s">
        <v>1028</v>
      </c>
      <c r="E23" s="343" t="s">
        <v>16</v>
      </c>
      <c r="F23" s="344"/>
      <c r="G23" s="343"/>
      <c r="H23" s="343"/>
      <c r="I23" s="343"/>
      <c r="J23" s="343"/>
      <c r="K23" s="343"/>
      <c r="L23" s="343">
        <v>40</v>
      </c>
      <c r="M23" s="343" t="s">
        <v>368</v>
      </c>
      <c r="N23" s="343" t="s">
        <v>12</v>
      </c>
      <c r="O23" s="343"/>
    </row>
    <row r="24" spans="1:15" ht="60" x14ac:dyDescent="0.3">
      <c r="A24" s="243"/>
      <c r="B24" s="343" t="s">
        <v>2</v>
      </c>
      <c r="C24" s="346" t="s">
        <v>1004</v>
      </c>
      <c r="D24" s="343" t="s">
        <v>1028</v>
      </c>
      <c r="E24" s="343" t="s">
        <v>16</v>
      </c>
      <c r="F24" s="344"/>
      <c r="G24" s="343"/>
      <c r="H24" s="343"/>
      <c r="I24" s="343"/>
      <c r="J24" s="343"/>
      <c r="K24" s="343"/>
      <c r="L24" s="343">
        <v>25</v>
      </c>
      <c r="M24" s="343" t="s">
        <v>368</v>
      </c>
      <c r="N24" s="343" t="s">
        <v>12</v>
      </c>
      <c r="O24" s="343"/>
    </row>
    <row r="25" spans="1:15" ht="48.6" thickBot="1" x14ac:dyDescent="0.35">
      <c r="A25" s="243"/>
      <c r="B25" s="347" t="s">
        <v>175</v>
      </c>
      <c r="C25" s="347" t="s">
        <v>1005</v>
      </c>
      <c r="D25" s="347" t="s">
        <v>1029</v>
      </c>
      <c r="E25" s="347" t="s">
        <v>4</v>
      </c>
      <c r="F25" s="348"/>
      <c r="G25" s="347"/>
      <c r="H25" s="347"/>
      <c r="I25" s="347"/>
      <c r="J25" s="347"/>
      <c r="K25" s="347"/>
      <c r="L25" s="347">
        <v>60</v>
      </c>
      <c r="M25" s="347" t="s">
        <v>539</v>
      </c>
      <c r="N25" s="347" t="s">
        <v>12</v>
      </c>
      <c r="O25" s="347"/>
    </row>
    <row r="26" spans="1:15" ht="48.6" thickBot="1" x14ac:dyDescent="0.35">
      <c r="A26" s="243"/>
      <c r="B26" s="347" t="s">
        <v>175</v>
      </c>
      <c r="C26" s="347" t="s">
        <v>1006</v>
      </c>
      <c r="D26" s="347" t="s">
        <v>1029</v>
      </c>
      <c r="E26" s="347" t="s">
        <v>4</v>
      </c>
      <c r="F26" s="348"/>
      <c r="G26" s="347"/>
      <c r="H26" s="347"/>
      <c r="I26" s="347"/>
      <c r="J26" s="347"/>
      <c r="K26" s="347"/>
      <c r="L26" s="347">
        <v>100</v>
      </c>
      <c r="M26" s="347" t="s">
        <v>539</v>
      </c>
      <c r="N26" s="347" t="s">
        <v>12</v>
      </c>
      <c r="O26" s="347"/>
    </row>
    <row r="27" spans="1:15" ht="48.6" thickBot="1" x14ac:dyDescent="0.35">
      <c r="A27" s="243"/>
      <c r="B27" s="347" t="s">
        <v>175</v>
      </c>
      <c r="C27" s="347" t="s">
        <v>1007</v>
      </c>
      <c r="D27" s="347" t="s">
        <v>1029</v>
      </c>
      <c r="E27" s="347" t="s">
        <v>4</v>
      </c>
      <c r="F27" s="348"/>
      <c r="G27" s="347"/>
      <c r="H27" s="347"/>
      <c r="I27" s="347"/>
      <c r="J27" s="347"/>
      <c r="K27" s="347"/>
      <c r="L27" s="347">
        <v>60</v>
      </c>
      <c r="M27" s="347" t="s">
        <v>539</v>
      </c>
      <c r="N27" s="347" t="s">
        <v>12</v>
      </c>
      <c r="O27" s="347"/>
    </row>
    <row r="28" spans="1:15" ht="48.6" thickBot="1" x14ac:dyDescent="0.35">
      <c r="A28" s="243"/>
      <c r="B28" s="347" t="s">
        <v>175</v>
      </c>
      <c r="C28" s="347" t="s">
        <v>359</v>
      </c>
      <c r="D28" s="347" t="s">
        <v>1029</v>
      </c>
      <c r="E28" s="347" t="s">
        <v>4</v>
      </c>
      <c r="F28" s="348"/>
      <c r="G28" s="347"/>
      <c r="H28" s="347"/>
      <c r="I28" s="347"/>
      <c r="J28" s="347"/>
      <c r="K28" s="347"/>
      <c r="L28" s="347">
        <v>60</v>
      </c>
      <c r="M28" s="347" t="s">
        <v>539</v>
      </c>
      <c r="N28" s="347" t="s">
        <v>12</v>
      </c>
      <c r="O28" s="347"/>
    </row>
    <row r="29" spans="1:15" ht="48.6" thickBot="1" x14ac:dyDescent="0.35">
      <c r="A29" s="243"/>
      <c r="B29" s="347" t="s">
        <v>371</v>
      </c>
      <c r="C29" s="347" t="s">
        <v>1008</v>
      </c>
      <c r="D29" s="347" t="s">
        <v>1029</v>
      </c>
      <c r="E29" s="347" t="s">
        <v>4</v>
      </c>
      <c r="F29" s="348"/>
      <c r="G29" s="347"/>
      <c r="H29" s="347"/>
      <c r="I29" s="347"/>
      <c r="J29" s="347"/>
      <c r="K29" s="347"/>
      <c r="L29" s="347">
        <v>100</v>
      </c>
      <c r="M29" s="347" t="s">
        <v>10</v>
      </c>
      <c r="N29" s="347" t="s">
        <v>12</v>
      </c>
      <c r="O29" s="347"/>
    </row>
    <row r="30" spans="1:15" ht="48.6" thickBot="1" x14ac:dyDescent="0.35">
      <c r="A30" s="243"/>
      <c r="B30" s="347" t="s">
        <v>371</v>
      </c>
      <c r="C30" s="347" t="s">
        <v>1009</v>
      </c>
      <c r="D30" s="347" t="s">
        <v>1029</v>
      </c>
      <c r="E30" s="347" t="s">
        <v>4</v>
      </c>
      <c r="F30" s="348"/>
      <c r="G30" s="347"/>
      <c r="H30" s="347"/>
      <c r="I30" s="347"/>
      <c r="J30" s="347"/>
      <c r="K30" s="347"/>
      <c r="L30" s="347">
        <v>30</v>
      </c>
      <c r="M30" s="347" t="s">
        <v>10</v>
      </c>
      <c r="N30" s="347" t="s">
        <v>12</v>
      </c>
      <c r="O30" s="34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Лист1</vt:lpstr>
      <vt:lpstr>Лист2</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Tamerlan</cp:lastModifiedBy>
  <cp:lastPrinted>2025-01-30T11:40:03Z</cp:lastPrinted>
  <dcterms:created xsi:type="dcterms:W3CDTF">2023-01-09T13:06:43Z</dcterms:created>
  <dcterms:modified xsi:type="dcterms:W3CDTF">2026-03-09T17:30:09Z</dcterms:modified>
</cp:coreProperties>
</file>