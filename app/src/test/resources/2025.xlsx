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kotlin\back\exast-v1\app\src\test\resources\"/>
    </mc:Choice>
  </mc:AlternateContent>
  <bookViews>
    <workbookView xWindow="0" yWindow="1944" windowWidth="28800" windowHeight="13212"/>
  </bookViews>
  <sheets>
    <sheet name="Лист1" sheetId="1" r:id="rId1"/>
    <sheet name="Лист2" sheetId="2" r:id="rId2"/>
  </sheets>
  <definedNames>
    <definedName name="_xlnm._FilterDatabase" localSheetId="0" hidden="1">Лист1!$A$1:$O$305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30" i="1" l="1"/>
  <c r="L228" i="1" l="1"/>
  <c r="L229" i="1"/>
  <c r="L226" i="1" l="1"/>
  <c r="L227" i="1"/>
  <c r="L223" i="1" l="1"/>
  <c r="L225" i="1"/>
  <c r="L224" i="1"/>
  <c r="L222" i="1" l="1"/>
  <c r="L217" i="1"/>
  <c r="L220" i="1" l="1"/>
  <c r="L218" i="1"/>
  <c r="L215" i="1" l="1"/>
  <c r="L219" i="1"/>
  <c r="L221" i="1"/>
  <c r="L216" i="1"/>
  <c r="L212" i="1" l="1"/>
  <c r="L210" i="1" l="1"/>
  <c r="L207" i="1"/>
  <c r="L186" i="1"/>
  <c r="L191" i="1"/>
  <c r="L190" i="1"/>
  <c r="L185" i="1"/>
  <c r="L184" i="1"/>
  <c r="L181" i="1"/>
  <c r="L176" i="1" l="1"/>
  <c r="L158" i="1"/>
  <c r="L159" i="1"/>
  <c r="L151" i="1"/>
  <c r="L150" i="1"/>
  <c r="L152" i="1"/>
  <c r="L141" i="1"/>
  <c r="L142" i="1" l="1"/>
  <c r="L139" i="1" l="1"/>
  <c r="L130" i="1"/>
  <c r="L28" i="2" l="1"/>
  <c r="L166" i="1" l="1"/>
  <c r="L122" i="1" l="1"/>
  <c r="L114" i="1" l="1"/>
  <c r="L99" i="1" l="1"/>
  <c r="L95" i="1"/>
  <c r="L89" i="1" l="1"/>
  <c r="L93" i="1" l="1"/>
  <c r="L86" i="1" l="1"/>
  <c r="L62" i="1"/>
  <c r="L70" i="1"/>
  <c r="L75" i="1" l="1"/>
  <c r="L71" i="1"/>
  <c r="L60" i="1"/>
  <c r="L66" i="1"/>
  <c r="L64" i="1"/>
  <c r="L65" i="1"/>
  <c r="L59" i="1"/>
  <c r="L57" i="1"/>
  <c r="L44" i="1" l="1"/>
  <c r="L46" i="1"/>
  <c r="L25" i="1" l="1"/>
  <c r="L24" i="1"/>
  <c r="L13" i="1" l="1"/>
  <c r="L8" i="1"/>
  <c r="L11" i="1" l="1"/>
  <c r="L3" i="1"/>
  <c r="L5" i="1"/>
  <c r="L6" i="1"/>
  <c r="L9" i="1"/>
</calcChain>
</file>

<file path=xl/sharedStrings.xml><?xml version="1.0" encoding="utf-8"?>
<sst xmlns="http://schemas.openxmlformats.org/spreadsheetml/2006/main" count="2619" uniqueCount="827">
  <si>
    <t>Культурно-творческое</t>
  </si>
  <si>
    <t>Физическое</t>
  </si>
  <si>
    <t>Очный</t>
  </si>
  <si>
    <t>КБР, г. Нальчик, КБГУ, ул. Чернышевского, 173</t>
  </si>
  <si>
    <t>УМПиВР КБГУ</t>
  </si>
  <si>
    <t>Клуб интернациональной дружбы КБГУ</t>
  </si>
  <si>
    <t>Патриотическое</t>
  </si>
  <si>
    <t>Клуб общественных наблюдателей КБГУ</t>
  </si>
  <si>
    <t>Волонтерский центр КБГУ</t>
  </si>
  <si>
    <t>Клуб настольных игр КБГУ</t>
  </si>
  <si>
    <t>Внутривузовский</t>
  </si>
  <si>
    <t>Организация мероприятия</t>
  </si>
  <si>
    <t>Региональный</t>
  </si>
  <si>
    <t xml:space="preserve">Внутривузовский </t>
  </si>
  <si>
    <t xml:space="preserve">Очный </t>
  </si>
  <si>
    <t>Онлайн</t>
  </si>
  <si>
    <t>Участие в мероприятии</t>
  </si>
  <si>
    <t xml:space="preserve">Культурно-творческое </t>
  </si>
  <si>
    <t>Студенческий совет КБГУ</t>
  </si>
  <si>
    <t>Помощь в организации мероприятия</t>
  </si>
  <si>
    <t>Гражданское</t>
  </si>
  <si>
    <t>КБР, курорт "Эльбрус"</t>
  </si>
  <si>
    <t>Киберспортивный клуб КБГУ "Alpacas"</t>
  </si>
  <si>
    <t>Муниципальный</t>
  </si>
  <si>
    <t>КБР, г. Нальчик, КБГУ, ул. Чернышевского, 173, территория кампуса</t>
  </si>
  <si>
    <t>Литературный клуб КБГУ</t>
  </si>
  <si>
    <t>Центр физического воспитания, развития студенческого спорта и туризма КБГУ</t>
  </si>
  <si>
    <t>КБР, г. Нальчик, площадь Согласия</t>
  </si>
  <si>
    <t>Научно-образовательное</t>
  </si>
  <si>
    <t>КБР, г. Нальчик ж/д вокзал</t>
  </si>
  <si>
    <t xml:space="preserve">Организация мероприятия </t>
  </si>
  <si>
    <t>КБР, г. Нальчик, ФСК КБГУ, ул. Толстого, 184</t>
  </si>
  <si>
    <t xml:space="preserve">Физическое </t>
  </si>
  <si>
    <t>Всероссийский</t>
  </si>
  <si>
    <t>КБР, п. Эльбрус, база ЭУНК КБГУ</t>
  </si>
  <si>
    <t>Окружной</t>
  </si>
  <si>
    <t>Профессионально-трудовое</t>
  </si>
  <si>
    <t>Студенческое самоуправление</t>
  </si>
  <si>
    <t>Добровольческое</t>
  </si>
  <si>
    <t>Экологическое</t>
  </si>
  <si>
    <t>КБР, г. Нальчик, Атажукинский парк</t>
  </si>
  <si>
    <t>ППОО КБГУ</t>
  </si>
  <si>
    <t>КБР, г. Нальчик, КБГУ, ул. Чернышевского, 174</t>
  </si>
  <si>
    <t>-</t>
  </si>
  <si>
    <t>Координациональный профилактический центр КБГУ</t>
  </si>
  <si>
    <t>Межрегиональный</t>
  </si>
  <si>
    <t xml:space="preserve">КБР, г. Нальчик, КБГУ, ул. Чернышевского, 173 </t>
  </si>
  <si>
    <t>Центр гражданско-патриотичсекого воспитания КБГУ, патриотический клуб КБГУ "Кавказ"</t>
  </si>
  <si>
    <t>Спортивное</t>
  </si>
  <si>
    <t>Мероприятие «Новогодний студенческий бал» является ежегодным традиционным событием, к которому все желающие готовятся к парным танцам и встрече Нового года в атмосфере веселья и дружбы. 
На мероприятии проходят танцы, фуршет, конкурсы с призами, а также выборы короля и королевы бала. Мероприятие открыто для посещения всеми, кто соблюдает дресс-код бала.</t>
  </si>
  <si>
    <t>Центр общеобразовательных программ КБГУ</t>
  </si>
  <si>
    <t>Донорская акция КБГУ с участием студентов и работников</t>
  </si>
  <si>
    <t>Студенты и сотрудники КБГУ приняли участие в первой в этом году Донорской акции, которая прошла на Станции переливания крови.
Кроме того, студенты сдали HLA-типирование для включения в Федеральный регистр доноров костного мозга.</t>
  </si>
  <si>
    <t>КБР, г. Нальчик, ул. Тарчокова, 12, ГКУЗ «Станция переливания Крови» Минздрава КБР</t>
  </si>
  <si>
    <t>В киноконцертном зале имени А.Н. Сокурова состоялсяежегодный шоу-конкурс  «Виват, студент». Тематика мероприятия в этом году — бразильский карнавал. Участники подготовили творческие номера, общие выходы, видео визитки, импровизировали в интеллектуальном квизе. Победителем шоу-конкурса «Виват, студент» стала студентка социально-гуманитарного института КБГУ Мирослава Васильченко.</t>
  </si>
  <si>
    <t xml:space="preserve">Шоу-конкурс «Виват, студент» </t>
  </si>
  <si>
    <t xml:space="preserve">Молодежный спортивно-развлекательный фестиваль «Студгонка» </t>
  </si>
  <si>
    <t>В преддверии Дня российского студенчества Кабардино-Балкарский госуниверситет устроил настоящий праздник спорта. Студенческие команды из разных институтов сражались в увлекательных эстафетах, стремясь завоевать титул самых ловких и быстрых! 
Кроме того, в рамках фестиваля прошла выставка, посвященная студенческой жизни в КБГУ.
Для зрителей организаторы подготовили захватывающие конкурсы с отличными призами, которые подарят массу положительных эмоций.
Определены победители и призеры. 1 место —  ИПЭиФ, 2 место —  ИИИиЦТ, 3 место —  ИППиФСО и ПК.</t>
  </si>
  <si>
    <t xml:space="preserve">Литературный вечер </t>
  </si>
  <si>
    <t>КБР, г. Нальчик, ул. Кулиева, 19, кофейня "Хорошие истории"</t>
  </si>
  <si>
    <t>Активом клуба организован литературный вечер с участием студентов разных структурных подразделений. Участники поделились своими впечатлениями о сюжете и персонажах книги Агаты Кристи "Десять негритят".</t>
  </si>
  <si>
    <t xml:space="preserve">Олимпиада для студентов </t>
  </si>
  <si>
    <t xml:space="preserve">Научный клуб КБГУ «Maxwell» </t>
  </si>
  <si>
    <t>Участниками стали студенты разных направлений. В олимпиаду вошли задания разного уровня сложности по русскому языку, философии, истории, обществознанию и биологии.</t>
  </si>
  <si>
    <t>Патриотическая акция «Блокадный хлеб», приуроченная к 81-летию  прорыва блокады Ленинграда</t>
  </si>
  <si>
    <t>В день снятия блокады Лениграда, в холле главного корпуса университета состоялась акция «Блокадный хлеб».
В рамках мероприятия студенты и сотрудники вуза узнали об исторических фактах того времени, получили символический кусочек хлеба весом в 125 граммов и памятку с описанием.</t>
  </si>
  <si>
    <t>Встреча команды вожатых  КБГУ с предсавителями регионально отделения Движения Первых.</t>
  </si>
  <si>
    <t>Первичное отделение "Движение Первых" КБГУ</t>
  </si>
  <si>
    <t>Состоялась встреча команды вожатых с представителями регионального отделения Движения Первых. В ходе встречи активисты ознакомились с профильными сменами Движения Первых в сфере летней оздоровительной кампании, составили план работы на первый квратал 2025 года. Определяли работу первичного отделения "Движение Первых" КБГУ на предстоящих университетских сменах.</t>
  </si>
  <si>
    <t>Организован экскурсионный выезд в Приэльбрусье. Участники учились кататься на сноуборде и лыжах, а так же верховой езде на лошади.</t>
  </si>
  <si>
    <t xml:space="preserve">Туристический клуб КБГУ  "Papaha Travel" </t>
  </si>
  <si>
    <t>Организован экскурсионный выезд в Приэльбрусье.  Участники учились кататься на сноуборде и лыжах, а так же верховой езде на лошади. Познакомились с национальной кухней.</t>
  </si>
  <si>
    <t>Организован экскурсионный выезд в Приэльбрусье.  Участники учились кататься на сноуборде и лыжах, а так же верховой езде на лошади.</t>
  </si>
  <si>
    <t>КБР, г.Нальчик, КБГУ, ул. Чернышевского, 173</t>
  </si>
  <si>
    <t xml:space="preserve">Образовательное </t>
  </si>
  <si>
    <t>Фотоигротека</t>
  </si>
  <si>
    <t>Партия в настольные игры "Нечто: из глубокой бездны", "Чужая планета", "Нуар", "Неудержимые единорожки"</t>
  </si>
  <si>
    <t xml:space="preserve">Выездное экскурсионное мероприятие в Приэльбрусье </t>
  </si>
  <si>
    <t xml:space="preserve">Мероприятие посвящено Всемирному дню книгодарения.  Участники подготовили друг другу книжные подарки, также состоялась разговорная встреча.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словарный запас участников встречи. </t>
  </si>
  <si>
    <t>Партия в настольную игру "Любительская мафия"</t>
  </si>
  <si>
    <t>Актив клуба настольных игр провел для студентов психологическую игру "Любительская мафия".</t>
  </si>
  <si>
    <t>Знакомство участников клуба</t>
  </si>
  <si>
    <t>Музыкальный клуб КБГУ "Минор "</t>
  </si>
  <si>
    <t>Состоялась рабочая встреча участников клуба, проведено знакомство. Выстроены общие планы, прошло обучение игре на гитаре.</t>
  </si>
  <si>
    <t>Актив клуба настольных игр провел для студентов игротеку: "Битва за ракуган" - стратегическая игра; "Чужая планета" - кооперативная игра; "Эвердеел" - экономическая игра; "Кольт-Экспресс" - стратегическая игра.</t>
  </si>
  <si>
    <t>Актив клуба настольных игр провел для студентов игротеку:  "Нечто: Из глубокой бездны" - психологическая игра; "Письма пизрака" - психологическая игра на ассоциации; "Неудержимые единорожки" - увлекательная и весёлая.</t>
  </si>
  <si>
    <t>XIX Выставка инновационных проектов молодых ученых Северного Кавказа</t>
  </si>
  <si>
    <t>Мероприятие  "Добрые выходные вместе с КБГУ"</t>
  </si>
  <si>
    <t>08.02.2025-09.02.2025</t>
  </si>
  <si>
    <t>Волонтеры Добро.Центра КБГУ оказали помощь в организации мероприятия.
В преддверии Дня российской науки, в новом корпусе КБГУ состоялась XIX выставка инновационных проектов молодых ученых Северного Кавказа. Тематика проектов:  сельское хозяйство, медицина, строительство и промышленность, новые методы в производственных процессах, материалы нового поколения, социальные проекты, а также робототехника и информационные технологии.</t>
  </si>
  <si>
    <t>8 и 9 февраля волонтёры «Добро.Центра» КБГУ провели весёлые мастер-классы и игры для учеников Школы-интерната №1 г. Нальчика и Школы-интерната №5 с.п. Нартан.  
Мероприятия прошли в рамках сотрудничества со «Вкусно – и точка». В ходе мастер-классов ребята учились готовить бургеры и превращались в маленьких супергероев с помощью аквагрима. Вместе с волонтёрами КБГУ они создавали фигуры из шариков, играли и танцевали. В завершении праздника каждый получил подарок.
Участники смогли не только проявить свои творческие способности, но и насладиться тёплой и радостной атмосферой.</t>
  </si>
  <si>
    <t>11.02.2025-12.02.2025</t>
  </si>
  <si>
    <t>Турнир по UFC 4, посвященный Дню защитника Отечества</t>
  </si>
  <si>
    <t>Состоялся турнир по киберспортивной дисциплине UFC 4 среди студентов по олимпийской системе выбывания. Победители турнира: Бжихов Алим,  Мисхожев Рустам,  Жубоев Руслан.</t>
  </si>
  <si>
    <t>Заседание регионального координационного совета с участием главы Кабардино-Балкарской Республики Казбека Кокова и председателя правления «Движения Первых» Артура Орлова</t>
  </si>
  <si>
    <t>Состоялось заседание регионального координационного совета с участием главы Кабардино-Балкарской Республики Казбека Кокова и председателя правления «Движения Первых» Артура Орлова в Театре юного зрителя.
В числе участников студенты-активисты первичного отделения «Движения Первых» КБГУ — Алим Бозиев, Беслан Бекижев и Лиза Жарашуева.
В рамках встречи присутствующие обсудили развитие Общероссийского движения детей и молодежи в регионах и смогли задать интересующие их вопросы.</t>
  </si>
  <si>
    <t>Открытие дома молодежи КБР</t>
  </si>
  <si>
    <t>Представители КБГУ приняли участие в открытии «Дома молодежи». В рамках мероприятия прошли: акция «Вальс Победы», открытие Республиканского фиджитал-центра, презентация первого издания книги Олега Опрышко, запуск Республиканской олимпиады «Наследники Великой Победы», а также презентация туристического чат-бота «Горские прогулки» и другие события.</t>
  </si>
  <si>
    <t>В центре культуры имени Х.С. Темирканова англоговорящие иностранные студенты высшей школы международного образования (ВШМО) КБГУ просмотрели документальный фильм о специальной военной операции.</t>
  </si>
  <si>
    <t>Кинопоказ патриотического документального фильма "Здесь я был"</t>
  </si>
  <si>
    <t>"Урок мужества" - встреча с ветеранами специальной военной операции в рамках празднования Дня защитника Отечества.</t>
  </si>
  <si>
    <t>В Кабардино-Балкарском государственном университете им. Х.М. Бербекова состоялась встреча с ветеранами специальной военной операции в рамках празднования Дня защитника Отечества.
Среди спикеров: руководитель центра гражданско-патриотического воспитания КБГУ, ветеран СВО Герман Шевчук и сотрудники фонда «Защитники Отечества» — ветераны СВО Роман Коваленко, Ахмед Пшихачев и Эльдар Чеченов.
В ходе встречи герои специальной военной операции поделились своими личными историями, рассказали о значении патриотизма и о том, как важно сохранять моральный дух и поддерживать друг друга в трудные времена. Слушатели задавали вопросы, интересуясь не только военной службой, но и тем, как ветераны адаптируются к гражданской жизни после возвращения. 
Об истории подвигов защитников Отечества можно было также узнать из литературы и материалов, представленных на книжно-иллюстрированной выставке «2025 — год защитника Отечества» от библиотеки КБГУ. 
Мероприятие, организованное координационным профилактическим центром КБГУ, центром гражданско-патриотического воспитания вуза и при поддержке фонда «Защитники Отечества», стало важным шагом в укреплении связи между поколениями и воспитании у молодежи уважения к истории своей страны.</t>
  </si>
  <si>
    <t>Встреча с психологом, на тему: "Деструктивные формы поведения"</t>
  </si>
  <si>
    <t>Проведен круглый стол "Деструктивные формы поведения: причина и профилактика" с участием психолога-суицидолога Валерия Апажева и заместителей директоров структурных подразделений по воспитательной работе. Рассмотрены вопросы интернет-зависимости подростков и молодежи, а также последствия влияния деструктивных интернет-сообществ на мышление и поведение молодых людей. Психолог поделился проблемными случаями из своей практики и ответил на вопросы участников круглого стола .</t>
  </si>
  <si>
    <t>Спортивно-патриотический лагерь «Эльбрус»</t>
  </si>
  <si>
    <t>17.02.2025-
21.05.2025</t>
  </si>
  <si>
    <t>Координациональный профилактический центр КБГУ, Центр гражданско-патриотичсекого воспитания КБГУ</t>
  </si>
  <si>
    <t>Центр физического воспитания, развития студенческого спорта и туризма КБГУ, Центр гражданско-патриотичсекого воспитания КБГУ</t>
  </si>
  <si>
    <t>На базе эльбрусского учебно-научного комплекса начал свою работу спортивно-патриотический лагерь «Эльбрус». В программе лагеря - встречи с героями специальной военной операции, патриотические акции, спортивные игры, мастер-классы по истории региона и страны. Участники познакомились с природой Кавказа, прошли туристические маршруты и научились работать в команде. Участниками лагеря стали обучающиеся вузов Кабардино-Балкарской республики.</t>
  </si>
  <si>
    <t>Возложение цветов к Памятнику студентам, преподавателям и сотрудникам КБГУ, погибшим в годы Великой Отечественной войны</t>
  </si>
  <si>
    <t>КБР, г. Нальчик, КБГУ, ул. Чернышевского 173</t>
  </si>
  <si>
    <t>Просмотр и обсуждение кинофильма «Донбасс. Вчера, сегодня, завтра»</t>
  </si>
  <si>
    <t xml:space="preserve">Состоялось мероприятие, посвященное Дню защитника Отечества. Студенты, работники вуза и приглашенные гости возложили цветы к памятнику студентам, преподавателям и сотрудникам КБГУ, погибшим в годы Великой отечественной войны. Были приглашены: Министр по делам национальностей и общественным проектам КБР – Курашинова А.В. И  Заместитель Председателя Правительства КБР – Каширокова З.К.
</t>
  </si>
  <si>
    <t xml:space="preserve">Состоялось мероприятие, посвященное Дню защитника Отечества. Проведено совместно с Министерством по делам национальностей и общественным проектам. Состоялся просмотр фильма и дальнейшее оьсуждение. Принимали участи, студенты и сотрудники вуза. Были приглашены: Министр по делам национальностей и общественным проектам КБР – Курашинова А.В. И Заместитель Председателя Правительства КБР – Каширокова З.К. </t>
  </si>
  <si>
    <t>Праздничный концерт, посвященный Дню защитника Отечества и открытию Года защитника Отечества в КБГУ</t>
  </si>
  <si>
    <t xml:space="preserve">Состоялось мероприятие, посвященное Дню защитника Отечества. Подготовлена праздничная концертная программа с участием творческих коллективов КБГУ. Были приглашены: Министр по делам национальностей и общественным проектам КБР – Курашинова А.В. и Заместитель Председателя Правительства КБР – Каширокова З.К. </t>
  </si>
  <si>
    <t>Региональный отборочный этап окружного проекта «Лаборатория будущего»</t>
  </si>
  <si>
    <t>В Точке кипения Кабардино-Балкарского государственного университета им. Х.М. Бербекова состоялось открытие проекта. Участники прошли тестирование и сформировали команду для дальнейшей работы по социальному проектированию. 
«Лаборатория будущего» будет развиваться в несколько этапов. Команды пройдут серию образовательных модулей, а уже в ноябре этого года встретятся с экспертами и представителями органов власти для обсуждения вопросов внедрения разработанных проектов. 
По словам координатора инициативы, доцента кафедры всеобщей истории КБГУ Аскера Тумова, в рамках проекта планируется обсуждение конструктивного образа будущего, включая вопросы технологического развития с учетом традиционных духовно-нравственных ценностей. В центре внимания будут такие темы, как искусственный интеллект, биотехнологии, экономика будущего, гуманитарные знания, саморазвитие человека и творчество.</t>
  </si>
  <si>
    <t>Профориентационный спортивно-патриотический квест «Искра» прошёл в физкультурно-спортивном комплексе Кабардино-Балкарского государственного университета имени Х.М. Бербекова. 
Участниками стали учащиеся 10-11 классов республики. 
В рамках программы состоялись: торжественная церемония открытия квеста, командные этапы, полевая кухня и награждение участников. 
Первичное отделение КБГУ провело несколько этапов для участников  в рамках общего квеста.
Мероприятие, организованное управлением по довузовской подготовке и профориентационной работе вуза при поддержке управления по молодежной политике и воспитательной работе КБГУ, направлено на формирование навыков командной работы и лидерства, воспитание патриотизма и уважения к истории своей страны.</t>
  </si>
  <si>
    <t xml:space="preserve">Профориентационный спортивно-патриотический квест «Искра» </t>
  </si>
  <si>
    <t>КБР, г. Нальчик, КБГУ, ул. Толстого, 184, Физкультурно-спортивный комплекс</t>
  </si>
  <si>
    <t>Эко-просмотр "Синемакроссинг"</t>
  </si>
  <si>
    <t xml:space="preserve">Научно-образовательное </t>
  </si>
  <si>
    <t xml:space="preserve">Научный клуб «Maxwell» </t>
  </si>
  <si>
    <t xml:space="preserve">Неформальный круглый стол </t>
  </si>
  <si>
    <t>В ходе проведения круглого стола была предоставлена площадка для дискусси ограниченного количества человек. В ходе модерируемой дискуссии обсуждались разнообразные темы.</t>
  </si>
  <si>
    <t xml:space="preserve">Кино клуб КБГУ,  Зелёный дозор </t>
  </si>
  <si>
    <t>На мероприятии участникам было предложено творческое задание: ребят учили креативному оформлению подарочной упаковки книг. Атмосфера была теплой и вдохновляющей.</t>
  </si>
  <si>
    <t>Проведен показ фильма на тему экологии и сбора материалов на переработку.</t>
  </si>
  <si>
    <t>Партия по шахматам</t>
  </si>
  <si>
    <t>Актив клуба настольных игр провел для студентов  несколько шахматных партий.</t>
  </si>
  <si>
    <t>Партия в настольную игру "Цитадели"</t>
  </si>
  <si>
    <t>Актив клуба настольных игр провел для студентов  стратегическую игру "Цитадели"</t>
  </si>
  <si>
    <t>Турнир по психологической игре "Мафия"</t>
  </si>
  <si>
    <t xml:space="preserve">Актив клуба настольных игр провел для студентов турнир, который организован совместно с клубом Мафии "Titan". Обявлены 3 победителя: Шанков Марат Мухамедович, Казиева Джамиля Эльдаровна и 3-й победитель не с КБГУ. </t>
  </si>
  <si>
    <t>Партия в настольную игру "Письма призрака"</t>
  </si>
  <si>
    <t>Актив клуба настольных игр провел для студентов игровой день по психологической игре на ассоциации "Письма призрака"</t>
  </si>
  <si>
    <t>Открытие клуба междисциплинарной проектной деятельности "VIDA"</t>
  </si>
  <si>
    <t>Культурно-творческое, спортивное</t>
  </si>
  <si>
    <t>Турнир по FC24</t>
  </si>
  <si>
    <t>25.02.2025-26.02.2025</t>
  </si>
  <si>
    <t>Клуб междисциплинарной проектной деятельности КБГУ "VIDA"</t>
  </si>
  <si>
    <t>Открытие клуба проводилось в зале общественных инициатив КБГУ, на мероприятии присутствовал проректор по организации приема и довузовской деятельности Хараев А.М., советник ректора Шапсигов А.Х., начальник УДПиПР Виндижева А.О., заместитель директора по воспитательной, профориентационной работе и трудоустройству выпускников Гергова З.Х., сотрудники УМПиВР,УДПиПР, студенты-участники клуба. Были проведены: избрание председателя клуба, презентация тематики клуба, презентация планируемого стартового проекта "Горная медицина". По окончанию мероприятия утвержден план работы клуба.</t>
  </si>
  <si>
    <t>Проведен любительский турнир среди студентов разных структурных подразделений.</t>
  </si>
  <si>
    <t xml:space="preserve">Фотоклуб "FOX"  </t>
  </si>
  <si>
    <t>Коллаборация фотоклуба и клуба настольных игр</t>
  </si>
  <si>
    <t>В рамках коллаборации студенческих клубов проведено развлекательное творческое мероприятия для активистов.</t>
  </si>
  <si>
    <t>Образовательная лекция "Свет-тень"</t>
  </si>
  <si>
    <t>Разбор фоторабот и обсуждение</t>
  </si>
  <si>
    <t>Проведена образовательная лекция, в рамках которой лекторы поделились основами и концепциями по настройке света и тени для фото.</t>
  </si>
  <si>
    <t>Творческий литературный вечер</t>
  </si>
  <si>
    <t>*</t>
  </si>
  <si>
    <t>Конкурс рисунков на тему "Великая Отечественная во вселенной стимпанка"</t>
  </si>
  <si>
    <t>Творческий клуб "Артклуб"</t>
  </si>
  <si>
    <t xml:space="preserve">Партии по шахматам </t>
  </si>
  <si>
    <t>Клуь настольных игр "КУБ"</t>
  </si>
  <si>
    <t>Турнир по Mortal Combat 11, посвященный Международному женскому дню</t>
  </si>
  <si>
    <t>Киберспортивный клуб "Alpacas"</t>
  </si>
  <si>
    <t>Всероссийский фестиваль игр и увлечений «ИГРОКОН 25»</t>
  </si>
  <si>
    <t>06.03.2025-09.03.2025</t>
  </si>
  <si>
    <t>г. Красногорск</t>
  </si>
  <si>
    <t>Фестиваль Игрокон «Игрокон» — фествиаль  для фанатов настольных игр, геймеров, косплееров, создателей игр, художников и людей, жаждущих насыщенных и незабываемых впечатлений.
Более 1000 самых разных настольных игр, зоны видеоигр, турниры, мастер-классы, комиксы, аниме, ярмарки, презентации, косплей, специальные гости, лекторий, насыщенная шоу-программа и многое другое из мира поп- и гик-культуры.</t>
  </si>
  <si>
    <t xml:space="preserve">Разговорная встреча на английском языке «Never have I ever»
</t>
  </si>
  <si>
    <t>Клуб интернациональной дружбы</t>
  </si>
  <si>
    <t xml:space="preserve">Разговорная встреча в формате игры "Never have I ever".  Уникальный формат, позволяющий участникам мерориятия рассказать об удивительных историях из их жизни в игровой форме.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</si>
  <si>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Музыкальная игра "Битва плейлистов"</t>
  </si>
  <si>
    <t>07.03.2025-09.03.2025</t>
  </si>
  <si>
    <t>Шоу-конкурс интеллекта и творчества"Мисс КБГУ 2025"</t>
  </si>
  <si>
    <t>В Кабардино-Балкарском университете им. Х.М. Бербекова назвали имя победительницы шоу-конкурса красоты и таланта «Мисс КБГУ–2025».
Финальный этап прошел в киноконцертном зале им. А.Н. Сокурова. За корону боролись восемь студенток из разных институтов вуза.
Знакомство с претендентками на корону прошло в формате видео-визитки. А интеллектуальный конкурс дал участницам возможность раскрыться и показать свои знания, рассказать о жизненных ценностях и стремлениях.
Финалистки дефилировали в разных образах и подготовили творческие номера. Девушки пели и танцевали.
Пройдя все конкурсные этапы, участницы раскрыли свои таланты и покорили зрителей красотой. 
Мисс зрительских симпатий стала Даяна Улимбашева (институт права, экономики и финансов).
Звание вице-мисс КБГУ жюри присудило Элине Семёновой (институт стоматологии и челюстно-лицевой хирургии).
А победительница конкурса «Мисс КБГУ–2025» – Алина Лещук (институт менеджмента, туризма и индустрии гостеприимства).
Помимо заслуженных титулов и сверкающих корон, участницы получили ценные призы и подарки от партнеров.</t>
  </si>
  <si>
    <t>Передвижная выставка «Поезд Победы»</t>
  </si>
  <si>
    <t xml:space="preserve">УМПиВР КБГУ, Добро.Центр </t>
  </si>
  <si>
    <t>Студенты КБГУ посетили первую в мире передвижную выставку «Поезд Победы». Реалистичные скульптуры и мультимедийное сопровождение воссоздают историю Великой Отечественной войны. В каждом вагоне поезда-музея — уникальная история, в которой переплетены драматические события военных лет, исторические факты, судьбы и воспоминания людей.</t>
  </si>
  <si>
    <t>В Кабардино-Балкарском государственном университете им. Х.М. Бербекова прошла стратегическая сессия «Развитие Республики Кабардино-Балкарии через человекоцентричные модели управления туристическим пространством».
Команды участников, в числе которых сотрудники вуза и руководители компаний, разрабатывали проекты, направленные на устойчивое развитие туристической инфраструктуры, улучшение качества обслуживания и создание новых маршрутов, которые подчеркнут богатство нашей культуры и природы.
Главный модератор сессии – Владимир Соловьев, руководитель лаборатории человекоцентричности и лидерских практик НИУ «Высшая школа экономики».</t>
  </si>
  <si>
    <t>04.03.2025-05.03.2025</t>
  </si>
  <si>
    <t>Встреча председателя Парламента КБР Татьяны Егоровой со студентами КБГУ, посвященная Международному женскому дню</t>
  </si>
  <si>
    <t>В центре культуры имени Х.С. Темирканова прошла встреча председателя Парламента КБР Татьяны Егоровой со студентами КБГУ, посвященная Международному женскому дню.
В ходе мероприятия студенты смогли пообщаться с Татьяной Борисовной и задать ей вопросы о профессиональной деятельности, молодёжной палате, роли женщины в политике и многом другом.</t>
  </si>
  <si>
    <t>В Кабардино-Балкарском государственном университете им. Х.М. Бербекова прошла стратегическая сессия «Развитие Республики Кабардино-Балкарии через человекоцентричные модели управления туристическим пространством».
Команды участников, в числе которых сотрудники вуза и руководители компаний, разрабатывали проекты, направленные на устойчивое развитие туристической инфраструктуры, улучшение качества обслуживания и создание новых маршрутов, которые подчеркнут богатство нашей культуры и природы.
Главный модератор сессии – Владимир Соловьев, руководитель лаборатории человекоцентричности и лидерских практик НИУ «Высшая школа экономики».
https://kbsu.ru/news/chelovekocentrichnost-kak-osnovnaja-model-upravlenija-turisticheskim-prostranstvom-v-kbgu-prohodit-strategicheskaja-sessija-po-razvitiju-kbr/
https://kbsu.ru/news/v-kbgu-zavershilas-strategicheskaja-sessija-po-razvitiju-turisticheskogo-prostranstva-kbr/</t>
  </si>
  <si>
    <t>Проводы Масленицы</t>
  </si>
  <si>
    <t>Научно-образовательный центр русского языка и культуры</t>
  </si>
  <si>
    <t>В последний день Масленицы научно-образовательный центр русского языка и культуры Кабардино-Балкарского государственного университета им. Х.М. Бербекова устроил Проводы, символизирующие завершение зимы и встречу весны.
К народным гуляньям в честь праздника с энтузиазмом присоединились и иностранные студенты из Туркменистана. В процессе приготовления блинов и участия в различных играх они получили уникальную возможность глубже узнать русскую культуру и традиции. 
Надежда Чайка выразила благодарность за помощь в организации постоянным партнерам вуза КБРОО «Птицы счастья» и ассистенту кафедры русского языка и общего языкознания, куратору группы студентов направления «Отечественная филология: русский язык и литература» Карине Теркуловой.</t>
  </si>
  <si>
    <t>06.03.2025-07.03.2025</t>
  </si>
  <si>
    <t>Медиа школа Первых</t>
  </si>
  <si>
    <t>В физкультурно-спортивном комплексе КБГУ прошёл молодёжный спортивно-развлекательный фестиваль «А ну-ка, девушки», посвящённый Международному женскому дню.
Участницы продемонстрировали силу и ловкость в различных эстафетах, организованных центром физического воспитания, развития студенческого спорта и туризма университета.
Победителем соревнований стала команда колледжа информационных технологий и экономики, вторыми оказались спортсменки из колледжа дизайна, а третье место завоевали девушки из института электроники, робототехники и искусственного интеллекта.
Победители и призеры фестиваля «А ну-ка, девушки» были награждены ценными подарками и дипломами КБГУ.</t>
  </si>
  <si>
    <t>Молодёжный спортивно-развлекательный фестиваль «А ну-ка, девушки»</t>
  </si>
  <si>
    <t>В Кабардино-Балкарском государственном университете им. Х.М. Бербекова прошёл торжественный концерт, посвященный Международному женскому дню. 
И.о. ректора КБГУ Юрий Альтудов поприветствовал зрителей, отметив значимость этого праздника, и подчеркнул вклад женщин в развитие общества и науки. 
В программе вечера были представлены выступления творческих коллективов университета. Театральные постановки, музыкальные и танцевальные номера: мероприятие получилось ярким и насыщенным. 
Благодарим организаторов – центр эстетического воспитания и художественного творчества КБГУ.</t>
  </si>
  <si>
    <t>Торжественный концерт, посвященный Международному женскому дню</t>
  </si>
  <si>
    <t>Фишинг - Как выглядит мошенничество в интернете</t>
  </si>
  <si>
    <t>В КБГУ обсудили, как обезопасить себя от IT-преступлений. Специалист координационного профилактического центра КБГУ Мурат Тебердиев и сотрудник полиции Нальчика Илья Винавер рассказали студентам о наиболее распространенных схемах интернет-мошенничества и о том, как сохранить свои данные и не стать жертвой преступления. Были поставлены простые правила поведения:
Завершайте разговор, если «банковские сотрудники» или «сотрудники государственных учреждений» просят перевести ваши денежные средства на чужой счет. 
Будьте бдительны при заказе товара через Интернет. 
Никому не сообщайте свой ПИН-код и трехзначный код, указанный на оборотной стороне банковской карты, паспортные данные. 
Не переходите по ссылкам в сообщениях.
Избегайте в телефонном разговоре с неизвестными слова «да».</t>
  </si>
  <si>
    <t>Центр поддержки студенческих объединений, молодежных программ и проектов КБГУ</t>
  </si>
  <si>
    <t>В Точке кипения Кабардино-Балкарского государственного университета им. Х.М. Бербекова прошла медиашкола, организаторами которой выступило первичное отделение «Движения Первых» вуза. 
Форум собрал студентов, молодых журналистов и экспертов в области медиа. В рамках программы участники обсуждают актуальные темы современного медиапространства, включая разработку и продвижение собственного бренда, влияние цифровых технологий на журналистику и многое другое. 
Мастер-классы, панельные дискуссии и встречи с известными журналистами и экспертами включала программа медиашколы.
Участниками мероприятия стали студенты разных структурных подразделений КБГУ. Были приглашены эксперты в сфере медиа для проведения образовательных лекций.</t>
  </si>
  <si>
    <t>Студенческий кибер клуб провел турнир по киберспортивной дисциплине Mortal Combat 11. Цель мероприятия - привлечение я в актив клуба девушек. Сорвенование проходило исключительно среди женского пола и посвящено Международному женскому дню.</t>
  </si>
  <si>
    <t>Студенческий клуб настольных игр провел шахматный турнир для студентов КБГУ. Турнир ставит своей целью  привлечение студентов к систематическим занятиям шахматами, и их интеллектуального развития, а также популяризация интеллектуальных видов спорта.</t>
  </si>
  <si>
    <t>Студенческим творческим клубом проведен конкурс рисунков на необычную тематику. Участвовали студенты вуза, в том числе ии иностранные. Проходил конкурс в формате онлайн.</t>
  </si>
  <si>
    <t>Телеграм канал</t>
  </si>
  <si>
    <t>На базе Эльбрусского учебно-научного комплекса прошёл тренинг для волонтёров Добро.Центр КБГУ. Цель тренинга - развитие коммуникативных навыков, а также командообразование волонтеров. Участниками стали волонтеры КБГУ.</t>
  </si>
  <si>
    <t>Стратегическая сессия "Развитие Республики Кабардино-Балкарии через человекоцентричные модели управления пространством"</t>
  </si>
  <si>
    <t>КБР, г.Нальчик, КБГУ, ул. Толстого 184, ФСК КБГУ</t>
  </si>
  <si>
    <t>Региональный тур "Твой ход" в КБГУ</t>
  </si>
  <si>
    <t>Региональный тур прошел в Кабардино-Балкарском Государственном Университете в г.Нальчик. Студенты разных структурных подразделений познакомились с Всероссийском студенческим проектом «Твой Ход», а это 5 юбилейный сезон, 5 конкурсных треков, возможности, подарки, ценные призы, путешествия, реализация себя, своих целей и талантов.</t>
  </si>
  <si>
    <t>Товарищеский киберспортивный турнир по DOTA 2 и CS2</t>
  </si>
  <si>
    <t xml:space="preserve">В рамках проекта  «Формат ESV» прошел товарищеский турнир по DOTA 2 и CS2 между студентами Кабардино-Балкарского государственного университета имени Х.М. Бербекова и Луганского государственного педагогического университета.
Команда из ЛГПУ одержала победу в DOTA 2. 
В игре CS2 победили студенты КБГУ. </t>
  </si>
  <si>
    <t>Международная образовательно-просветительская акция «Адыгэ диктант»</t>
  </si>
  <si>
    <t>УМПиВР КБГУ, дирекция СГИ</t>
  </si>
  <si>
    <t>В День адыгского языка и письменности Кабардино-Балкарский государственный университет имени Х.М. Бербекова стал одной из площадок проведения Международной образовательно-просветительской акции «Адыгэ диктант». 
В мероприятии приняли участие студенты, преподаватели и видные деятели адыгской культуры, которые собрались для проверки знаний родного языка. Целью проведения диктанта является повышение грамотности на адыгском (черкесском) языке и популяризация родного языка как средства общения, сохранение традиционной культуры и этнического самосознания адыгского народа.</t>
  </si>
  <si>
    <t>"Битва плейлистов" - новая версия музыкальной игры, которая прошла в 2 этапа: 1. отборочный        2. финал.  
Команды меломанов сразились за звание лучших, представляя на суд слушателей свои музыкальные подборки.
Ребята продемонстрировали отличный вкус, знание музыкальной истории и умение создавать атмосферу.
Задача игроков в том чтобы подобрать музыку в 4-х разных этапа. По итогам мероприятия определены команды-победители.</t>
  </si>
  <si>
    <t>Тренинг-семинар для волонтеров «Организация
волонтерской деятельности в вузе»</t>
  </si>
  <si>
    <t>Большой предпринимательский турнир "Рынок и капитал" (ИЭРиИИ)</t>
  </si>
  <si>
    <t>Федереальная программа по развитию молодёжного предпринимательства "Я в деле"</t>
  </si>
  <si>
    <t>В центре культуры имени Х.С. Темирканова была проведена наборная компания на курс "Я в деле" в рамках Большого предпринимательского турнира "Рынок и капитал". Студенты на практике учились правильно управлять своими финансами и познавали основы бизнеса.</t>
  </si>
  <si>
    <t>В центре культуры имени Х.С. Темирканова была проведена наборная компания на курс "Я в деле" в рамках Большого предпринимательского турнира "Рынок и капитал". Студенты учились на практике правильно управлять своими финансами и познавали основы бизнеса.</t>
  </si>
  <si>
    <t>Большой предпринимательский турнир "Рынок и капитал" (СГИ)</t>
  </si>
  <si>
    <t>Большой предпринимательский турнир "Рынок и капитал" (ИППиФСО)</t>
  </si>
  <si>
    <t>Большой предпринимательский турнир "Рынок и капитал" (ИПЭиФ)</t>
  </si>
  <si>
    <t>Большой предпринимательский турнир "Рынок и капитал" (ИМТиИГ и ИМиЕН)</t>
  </si>
  <si>
    <t>Беседа представителей правоохранительных органов г.Нальчика с руководителями структурных подразделений КБГУ</t>
  </si>
  <si>
    <t>В Кабардино-Балкарском государственном университете им. Х.М. Бербекова состоялась информационная встреча руководителей институтов и колледжей с сотрудниками полиции МВД по КБР. Уполномоченные майор полиции Илья Винавер и старший лейтенант полиции Нурадин Гошоков рассказали о наиболее распространенных схемах интернет-мошенничества и о том, как сохранить свои данные и не стать жертвой преступления.</t>
  </si>
  <si>
    <t>10.03.2025 -18.03.2025</t>
  </si>
  <si>
    <t xml:space="preserve">Серия встреч в рамках межведомственной комплексной оперативно-профилактической операции «Чистое поколение-2025» </t>
  </si>
  <si>
    <t xml:space="preserve">В КБГУ состоялись  встречи в формате круглого стола в рамках межведомственной комплексной оперативно-профилактической операции «Чистое поколение-2025» Мероприятия направлены на предупреждение распространения наркомании среди молодежи, пресечение и раскрытие фактов вовлечения в противоправную деятельность, связанную с незаконным оборотом наркотических средств, повышение уровня осведомленности о последствиях незаконного потребления наркотиков и ответственности за участие в их незаконном обороте. Первая встреча и отрытие операции были  инициированы институтом права, экономики и финансов КБГУ совместно с Управлением по контролю за оборотом наркотиков МВД по КБР. В течении недели  проходили встречи с ППС и студентами всех подраздлений КБГУ по профилактике от нарковотиков. </t>
  </si>
  <si>
    <t>Лекция заведующего отделом коммуникационных и общественных проектов ГКУЗ "ЦОЗМАИТ" Минздрава КБР Анзора Лобжанидзе</t>
  </si>
  <si>
    <t>В рамках межведомственной профилактической акции
«Чистое поколение-2025» для преподавателей организована лекция заведующего отделом коммуникационных и общественных проектов ГКУЗ "ЦОЗМАИТ" Минздрава КБР Анзора Лобжанидзе.
Мероприятие было направлено на предупреждение распространения и употребления наркотиков среди обучающихся, выявление и пресечение фактов вовлечения молодежи в преступную деятельность, связанную с незаконным оборотом наркотических средств и психоактивных веществ. Немаловажное внимание лектором было уделено негативным последствиям потребления курительных смесей и синтетических наркотиков.</t>
  </si>
  <si>
    <t>Профориентационный форум ПРОФСТАРТ</t>
  </si>
  <si>
    <t>18.03.2025-21.03.2025</t>
  </si>
  <si>
    <t>Управление по довузовской подготовке и профориентационной работе КБГУ, УМПиВР КБГУ</t>
  </si>
  <si>
    <t>С 18 по 21 марта на базе Эльбрусского учебно-научного комплекса КБГУ в рамках профориентационного форума ПРОФСТАРТ. Сотрудники блока молодежной политики выступили в качестве организаторов мероприятия (кураторы).</t>
  </si>
  <si>
    <t xml:space="preserve">Партия в настольную игру "Кольт экспресс" </t>
  </si>
  <si>
    <t xml:space="preserve">Партия в настольную игру "What the message?" </t>
  </si>
  <si>
    <t>Клуб настольных игр "КУБ" КБГУ</t>
  </si>
  <si>
    <t>Актив клуба провел для студентов партию по стратегической игре "Кольт экспресс".</t>
  </si>
  <si>
    <t>Актив клуба провел для студентов шхаматный турнир. Цель мероприятия -   привлечь студентов к систематическим занятиям шахматами и популяризировать интеллектуальные виды спорта.</t>
  </si>
  <si>
    <t xml:space="preserve">Мастер класс работы с плагинами </t>
  </si>
  <si>
    <t xml:space="preserve">В рамках мероприятия прошло обучение участников базовым аккордам для игры на гитаре и основы написания авторской музыки. </t>
  </si>
  <si>
    <t>Игроки познакомильсь с игрой "What the message?" и смогли проверить свою коммуникабельность и чувство юмора.</t>
  </si>
  <si>
    <t>Выборы председателя литературного клуба</t>
  </si>
  <si>
    <t xml:space="preserve">В рамках деятельности студенческого литературного клуба проведено собрание, целью которого стали выборы нового председателя клуба. </t>
  </si>
  <si>
    <t>Выездная презентация клуба и проекта среди участников форума «ПРОФСТАРТ</t>
  </si>
  <si>
    <t>Во время форума «ПРОФСТАРТ» была проведена презентация клуба и проекта среди участников и гостей форума в рамках довузовской подготовки и профориентационной работы. Абитуриентам была представлена структура клуба, его основные цели и задачи и то,как университет оказывает поддержку студентам.</t>
  </si>
  <si>
    <t>Игра в ЭКО-Джефферсона совместно с  экологическим клубом «Зеленый дозор»</t>
  </si>
  <si>
    <t>Клуб интернациональной дружбы КБГУ, Трудовой экологический отряд КБГУ "Зеленый дозор"</t>
  </si>
  <si>
    <t>Для активистов двух клубов проведена игра в ЭКО-Джефферсона. Это уникальное сочетание дебатов и дискуссий на самые актуальные экологические темы. Участники проверили свою способность анализировать информацию, отстаивать свою позицию и предлагать решения для защиты окружающей среды.</t>
  </si>
  <si>
    <t xml:space="preserve">Киноклуб КБГУ, длитературный клуб КБГУ </t>
  </si>
  <si>
    <t>Просмотр-обсуждение "Игра престолов: книги или сериал?"</t>
  </si>
  <si>
    <t>В рамках коллаборации студенческих клубов прошёл показ адаптации литературного произведения с последующим обсуждением.</t>
  </si>
  <si>
    <t>XLI Спартакиада студентов и аспирантов КБГУ настольный теннис (мужской)</t>
  </si>
  <si>
    <t>24 марта 2025 г. в ФСК КБГУ прошли соревнования по настольному теннису среди юношей XLI Спартакиады студентов и аспирантов КБГУ. В общем в соревнованиях участвовали 29 студентов. Определены победители и призеры, где 1 место взяли КИТиЭ, 2 место - ИМТиИГ, 3 место - Пед.колледж</t>
  </si>
  <si>
    <t>XLI Спартакиада студентов и аспирантов КБГУ настольный теннис (женский)</t>
  </si>
  <si>
    <t>25 марта 2025 г. в ФСК КБГУ прошли соревнования по настольному теннису среди девушек XLI Спартакиады студентов и аспирантов КБГУ. В общем в соревнованиях участвовали 15 студентов. Определены победители и призеры, где 1 место взяли КИТиЭ, 2 место - КИТиЭ, 3 место - Мед.академия</t>
  </si>
  <si>
    <t>XLI Спартакиада студентов и аспирантов КБГУ бадминтон (женский)</t>
  </si>
  <si>
    <t>26 марта 2025 г. в ФСК КБГУ прошли соревнования по бадминтону среди девушек XLI Спартакиады студентов и аспирантов КБГУ. В общем в соревнованиях участвовали 22 студента. Определены победители и призеры, где 1 место взяли ИППиФСО, 2 место - ИЭРиИИ, 3 место - ВШМО</t>
  </si>
  <si>
    <t xml:space="preserve">Кинопросмотр фильма «Гарри Поттер и философский камень» </t>
  </si>
  <si>
    <t xml:space="preserve">Для организации лингвистической практики студентов ВУЗа в неформальной среде в центре культуры им. Х.С. Темирканова был организован билингвистический кинопросмотр фильма «Гарри Поттер и философский камень» на английском языке. </t>
  </si>
  <si>
    <t>Разговорная встреча на английском языке на тему «Childhood»</t>
  </si>
  <si>
    <t xml:space="preserve">Проведена разговорная встреча на английском языке на тему «Childhood».  Участники вспомнили самые яркие моменты из детства, поделились забавными историями и обсудили, как детство повлияло на становление их личности.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</si>
  <si>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Мероприятие к Международному дню книгодарения «Тайный книгодаритель»</t>
  </si>
  <si>
    <t>Тренинг Джефферсона на английском языке</t>
  </si>
  <si>
    <t xml:space="preserve">Проведена популярная Игра Джефферсона. Это уникальный формат, сочитающий в себе элементы дебатов и дискуссии. Участники отстояли свои точки зрения, находя убедительные аргументы.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</si>
  <si>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 xml:space="preserve">Проведена разговорная встреча в формате игры "Never have I ever".  Уникальный формат, позволяющий участникам мерориятия рассказать об удивительных историях из их жизни в игровой форме.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</si>
  <si>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Добровольная молодёжная дружина "Эльбрус"</t>
  </si>
  <si>
    <t>Новогодний студенческий бал</t>
  </si>
  <si>
    <t>Добровольная молодёжная дружина КБГУ "Эльбрус"</t>
  </si>
  <si>
    <t>Команда дружины оказала содействие в организации мероприятия.</t>
  </si>
  <si>
    <t>Практика с МВД</t>
  </si>
  <si>
    <t>В Атажукинском парке прошла совместная практика дружинников и сотрудников МВД, проведен обход территории парка.</t>
  </si>
  <si>
    <t>Информационная встреча "Родина — мы"</t>
  </si>
  <si>
    <t xml:space="preserve">Проект «Родина — мы» познакомил студентов КБГУ с научным наследием Кабардино-Балкарии
Вуз стал первой площадкой для встреч с молодежью КБР в рамках проекта «Родина — мы». Эта федеральная общественно-просветительская программа реализуется в 83 регионах страны. На встрече со студентами КБГУ (входит в ООО "СоюзМаш России")  волонтеры просветительского проекта провели лекцию «Научное достояние Кабардино-Балкарии». Ребятам рассказали о достижениях и вкладе в науку выдающихся ученых, чей жизненный путь связан с нашей республикой. </t>
  </si>
  <si>
    <t>Концерт Государственного академического ансамбля танца «Кабардинка»</t>
  </si>
  <si>
    <t xml:space="preserve">В Кабардино-Балкарском государственном университете им. Х.М. Бербекова состоялся концерт государственного академического ансамбля танца «Кабардинка». На сцене киноконцертного зала им. А.Н. Сокурова ансамбль представил яркую программу, сочетающую в себе мастерство и дух кавказской культуры. Каждый танец представлял собой уникальную историю, передавая традиции предков и богатство национального наследия.
</t>
  </si>
  <si>
    <t>Региональный этап Всероссийской киберспоривной студенческой лиги</t>
  </si>
  <si>
    <t>КБР, г.Нальчик, ул. Чернышевского 181, ТЦ Среда 4 этаж Киберклуб "MEGA"</t>
  </si>
  <si>
    <t>Партия в настольную игру "What the message?"</t>
  </si>
  <si>
    <t>Клуб настольных игр КБГУ "КУБ"</t>
  </si>
  <si>
    <t>Актив клуба провел для студентов партию в настольную игру «What the message?» — это соревнование, в котором игроки создают самую смешную переписку.  
Собравшиеся смогли немного раскрыться, чем улучшили навыки общения.</t>
  </si>
  <si>
    <t>Конкурс "Корни и наследие: исследование родословной"</t>
  </si>
  <si>
    <t>КБР, г. Нальчик, КБГУ, ул. Ногмова, 89вл1, Студенческий центр "Альтаир" (Бывший грот)</t>
  </si>
  <si>
    <t>Центр общеразвивающих программ (ЦОП) КБГУ</t>
  </si>
  <si>
    <t xml:space="preserve">В КБГУ прошёл конкурс на исследование своей родословной, на котором студенты университета представили научные открытия относительно истории своего рода. Ребята смогли глубже изучить свою семейную историю и этнические корни.
Участие в таком конкурсе позволило молодым людям лучше понять свою идентичность, изучить генеалогию, а также внести свой вклад в сохранение культурного наследия региона.
Победитель в номинации «Древнейшая родословная» — Амина Кокова
Победитель в номинации «История с неожиданным поворотом» — Марьям Кештова
Победитель в номинации «Лучшее представление семейных традиций» — Идар Пшибиев
Победитель в номинации «Лучший визуальный проект» — Залина Хачетлова
Победители конкурса получили сертификаты на прохождение ДНК-теста, который поможет им установить этнические корни предков.
</t>
  </si>
  <si>
    <t xml:space="preserve">Мастер-класс по азам эскизного рисунка </t>
  </si>
  <si>
    <t>Модный клуб КБГУ «SAVOÍR»</t>
  </si>
  <si>
    <t>Участники мероприятия смогли попрактиковать себя в качестве дизайнера и показать свою креативность в создании эскизов одежды под руководством активистов студенческого клуба моды.</t>
  </si>
  <si>
    <t>Дискуссия на тему различных аспектов азиатской культуры</t>
  </si>
  <si>
    <t>Клуб азиатской культуры КБГУ</t>
  </si>
  <si>
    <t>Активисты клуба и иные участники мероприятия устроили обсуждение заранее подготовленных вопросов по различным темам азиатской культуры.</t>
  </si>
  <si>
    <t>Состоялся киберспортивный турнир от Федерации Киберспорта РФ, по основным киберспортивным направлениям: DOTA2, CS2, Valorant, Tekken8, в рамках которого команда КБГУ заняла первое место.</t>
  </si>
  <si>
    <t>Просмотр мюзикла "Ла-ла-ленд"</t>
  </si>
  <si>
    <t>Музыкальный клуб КБГУ, Киноклуб "Cinema KBSU"</t>
  </si>
  <si>
    <t xml:space="preserve">Партия в настольную игру "Бэнг: Меч самурая" </t>
  </si>
  <si>
    <t>Образовательный модуль проекта «Лаборатория Будущего»</t>
  </si>
  <si>
    <t>11.04.2025-14.04.2025</t>
  </si>
  <si>
    <t>г. Пятигорск, центр знаний "Машук"</t>
  </si>
  <si>
    <t>Прошел показ мюзикла  "Ла-ла-ленд", после которого зрители разучили мелодии из фильма на музыкальных инструментах.</t>
  </si>
  <si>
    <t>Студенты и сотрудники КБГУ приняли участие в первом образовательном модуле проекта «Лаборатория Будущего». «Лаборатория Будущего» —  инициатива, направленная на создание в Северо-Кавказском федеральном округе сообщества молодых специалистов социального проектирования и формирование конструктивного образа будущего на основе традиционных духовно-нравственных ценностей.  В рамках образовательного мероприятия участники обсуждили вопросы технологического развития страны и округа, в частности искусственного интеллекта, биотехнологий, экономики будущего, гуманитарных знаний, саморазвития человека, творчества и другие.</t>
  </si>
  <si>
    <t>УМПиВР КБГУ, Центр физического воспитания, развития студенческого спорта и туризма КБГУ</t>
  </si>
  <si>
    <t>Музыкальный жанр Фестиваля художественного творчества студентов КБГУ «Студенческая весна – 2025»</t>
  </si>
  <si>
    <t>Танцевальный жанр Фестиваля художественного творчества студентов КБГУ «Студенческая весна – 2025»</t>
  </si>
  <si>
    <t>Театральный жанр Фестиваля художественного творчества студентов КБГУ «Студенческая весна – 2025»</t>
  </si>
  <si>
    <t>Оригинальный жанр  Фестиваля художественного творчества студентов КБГУ «Студенческая весна – 2025»</t>
  </si>
  <si>
    <t>Студенческий совет КБГУ, УМПиВР КБГУ</t>
  </si>
  <si>
    <t xml:space="preserve">В вузе проводится ежегодный фестиваль художественного творчества студентов КБГУ «Студенческая весна – 2025». Музыкальный день студенческой весны прошел ярко и насыщенно, собрав студентов и гостей университета в киноконцертном зале им. Сокурова. Студенты соревновались в различчных номинациях, таких как народное и эстрадное направления, реп, инструментальное исполнение.  </t>
  </si>
  <si>
    <t xml:space="preserve">В вузе проводится ежегодный фестиваль художественного творчества студентов КБГУ «Студенческая весна – 2025». Танцевальный день студенческой весны прошел успешно, объединив студентов и гостей в атмосфере творчества и дружбы. Программа включала разнообразные танцевальные выступления, охватывающие различные стили, такие как народные танцы, а также современные направления. </t>
  </si>
  <si>
    <t>В вузе проводится ежегодный фестиваль художественного творчества студентов КБГУ «Студенческая весна – 2025». Театральный день стал важным этапом в культурной жизни учреждения, способствовал развитию творческих способностей студентов и укреплению студенческого сообщества. В рамках театрального дня были представлены театрализованные постановки, выполненные студентами.</t>
  </si>
  <si>
    <t>В вузе проводится ежегодный фестиваль художественного творчества студентов КБГУ «Студенческая весна – 2025». В рамках проведения дня оригинального жанра Студенческой весны состоялся яркий и разнообразный концерт, в котором были представлены номера, отражающие уникальные таланты студентов. В программе приняли участие участники, продемонстрировавшие мастерство в различных областях искусства.</t>
  </si>
  <si>
    <t>Традиционный спортивный фестиваль, посвященный Дню Весны и Труда</t>
  </si>
  <si>
    <t xml:space="preserve">Партия в настольную игру "Письма призрака" </t>
  </si>
  <si>
    <t>Клуб настольных игр "КУБ"</t>
  </si>
  <si>
    <t>Обсуждение книги</t>
  </si>
  <si>
    <t>Литературным клубом была организована литературная встреча: обсуждение книги "Джейн Эйр" Шарлотты Бронте, где участники читали свои любимые цитаты из книги, проводили исторические параллели с современными реалиями и проводили жаркие споры</t>
  </si>
  <si>
    <t xml:space="preserve">Обучение на гитаре </t>
  </si>
  <si>
    <t>В рамках мероприятия, актив клуба учил участников игре на гитаре.</t>
  </si>
  <si>
    <t>УМПиВР КБГУ, Музыкальный клуб КБГУ</t>
  </si>
  <si>
    <t>XLI Спартакиада студентов и аспирантов КБГУ бадминтон (мужской)</t>
  </si>
  <si>
    <t>27 марта 2025 г. в ФСК КБГУ прошли соревнования по бадминтону среди юношей XLI Спартакиады студентов и аспирантов КБГУ. В общем в соревнованиях участвовали 20 студентов. Определены победители и призеры, где 1 место взяли ВШМО, 2 место - ИППиФСО, 3 место - ВШМО</t>
  </si>
  <si>
    <t>XLI Спартакиада студентов и аспирантов КБГУ гиревой спорт</t>
  </si>
  <si>
    <t>27 марта 2025 г. в ФСК КБГУ прошли соревнования по гиревому спорту XLI Спартакиады студентов и аспирантов КБГУ. В общем в соревнованиях участвовали 26 студентов.</t>
  </si>
  <si>
    <t>XLI Спартакиада студентов и аспирантов КБГУ волейбол (женский)</t>
  </si>
  <si>
    <t>с 1 по 3 апреля 2025 г. в ФСК КБГУ прошли соревнования по волейболу среди девушек XLI Спартакиады студентов и аспирантов КБГУ. В общем в соревнованиях участвовали 103 студента. Определены победители и призеры, где 1 место взяли Мед академия, 2 место - ИЭРиИИ, 3 место - Мед колледж</t>
  </si>
  <si>
    <t>01.04.2025-03.04.2025</t>
  </si>
  <si>
    <t>XLI Спартакиада студентов и аспирантов КБГУ волейбол (мужский)</t>
  </si>
  <si>
    <t>с 4 по 9 апреля марта 2025 г. в ФСК КБГУ прошли соревнования по волейболу среди юношей XLI Спартакиады студентов и аспирантов КБГУ. В общем в соревнованиях участвовали 118 студентов. Определены победители и призеры, где 1 место взяли ИППиФСО, 2 место - Мед академия, 3 место - КИТиЭ</t>
  </si>
  <si>
    <t>04.04.2025-09.04.2025</t>
  </si>
  <si>
    <t>XLI Спартакиада студентов и аспирантов КБГУ баскетбол (женский)</t>
  </si>
  <si>
    <t>с 10 по 11 2025 г. в ФСК КБГУ прошли соревнования по баскетболу среди девушек XLI Спартакиады студентов и аспирантов КБГУ. В общем в соревнованиях участвовали 65 студентов. Определены победители и призеры, где 1 место взял Педагогический колледж , 2 место - ИМиЕН , 3 место - Мед. колледж</t>
  </si>
  <si>
    <t>XLI Спартакиада студентов и аспирантов КБГУ баскетбол (мужской)</t>
  </si>
  <si>
    <t>с 14 по 17 2025 г. в ФСК КБГУ прошли соревнования по баскетболу среди юношей XLI Спартакиады студентов и аспирантов КБГУ. В общем в соревнованиях участвовали 107 студентов. Определены победители и призеры, где 1 место взяли ИППиФСО , 2 место - Мед колледж , 3 место - Пед колледж</t>
  </si>
  <si>
    <t>14.04.2025-17.04.2025</t>
  </si>
  <si>
    <t xml:space="preserve">XLI Спартакиада студентов и аспирантов КБГУ футзал </t>
  </si>
  <si>
    <t>18.04.2025-22.04.2025</t>
  </si>
  <si>
    <t>XLI Спартакиада студентов и аспирантов КБГУ плавание</t>
  </si>
  <si>
    <t>25 апреля 2025 г. в ФСК КБГУ прошли соревнования по плаванию XLI Спартакиады студентов и аспирантов КБГУ. В общем в соревнованиях участвовали 19 студентов. Определены победители и призеры, где 1 место взяли СГИ , 2 место - ИЭРиИИ , 3 место - Пед колледж</t>
  </si>
  <si>
    <t>XLI Спартакиада студентов и аспирантов КБГУ стрельба из лука (мужской)</t>
  </si>
  <si>
    <t>23 апреля 2025 г. в ФСК КБГУ прошли соревнования по стрельбе из лука среди юношей XLI Спартакиады студентов и аспирантов КБГУ. В общем в соревнованиях участвовали 18 студентов. Определены победители и призеры, где 1 место взяли ИМТиИГ , 2 место - ИМИЕН , 3 место - ИППиФСО</t>
  </si>
  <si>
    <t>XLI Спартакиада студентов и аспирантов КБГУ стрельба из лука (женский)</t>
  </si>
  <si>
    <t>25 апреля 2025 г. в ФСК КБГУ прошли соревнования по стрельбе из лука среди девушек XLI Спартакиады студентов и аспирантов КБГУ. В общем в соревнованиях участвовали 12 студентов. Определены победители и призеры, где 1 место взяли ИППиФСО , 2 место - ИМТиИГ , 3 место - Мед академия</t>
  </si>
  <si>
    <t>XLI Спартакиада студентов и аспирантов КБГУ шахматы (женский)</t>
  </si>
  <si>
    <t>25 апреля 2025 г. в ФСК КБГУ прошли соревнования по шахматам среди девушек XLI Спартакиады студентов и аспирантов КБГУ. В общем в соревнованиях участвовали 9 студентов. Определены победители и призеры, где 1 место взяли ИМТиИГ , 2 место - ИЭРиИИ , 3 место - ИЭРиИИ</t>
  </si>
  <si>
    <t>XLI Спартакиада студентов и аспирантов КБГУ шахматы (мужской)</t>
  </si>
  <si>
    <t>25 апреля 2025 г. в ФСК КБГУ прошли соревнования по шахматам среди юношей XLI Спартакиады студентов и аспирантов КБГУ. В общем в соревнованиях участвовали 18 студентов. Определены победители и призеры, где 1 место взяли ВШМО , 2 место - КИТиЭ , 3 место - Мед академия</t>
  </si>
  <si>
    <t xml:space="preserve">Профсоюзные организации Кабардино-Балкарского государственного университета им. Х.М. Бербекова провели спортивный фестиваль для работников и обучающихся вуза.
Участников ждали различные спортивные состязания на свежем воздухе, призы и угощения - вкуснейший плов и ароматный чай. 
В конце мероприятия состоялось награждение победителей соревнований. </t>
  </si>
  <si>
    <t>Написание статьи "Влияние гипобарической гипоксии на кардиореспираторную систему"</t>
  </si>
  <si>
    <t>Смешанный</t>
  </si>
  <si>
    <t>КБР, г. Нальчик, КБГУ, ул. Чернышевского,173</t>
  </si>
  <si>
    <t>Клуб междисциплинарной проектной деятельности "VIDA"</t>
  </si>
  <si>
    <t>Этап по написанию статьи включает в себя сбор и обработку данных, собранных при обследовании на базе клиники, подготовку реферата и материалов для презентации проекта. Работа проводится под руководством ассистента кафедры нормальной и патологической физиологии человека Медицинской академии КБГУ Анаевой Фатимат Магометовны.</t>
  </si>
  <si>
    <t>Конференция:«Горный климат: лекарство или вызов?»</t>
  </si>
  <si>
    <t>Наставник проекта,ассистент кафедры нормальной и патологической физиологии человека Медицинской академии КБГУ Анаева Фатима Магометовна провела промежуточный анализ по имеющимся результатам, поделилась идеями и планами дальнейшей дейтельности, а студенты презентовали составленную статью и материалы.</t>
  </si>
  <si>
    <t>Киноигротека</t>
  </si>
  <si>
    <t>Разговорная встреча на русском языке</t>
  </si>
  <si>
    <t xml:space="preserve">Клуб Интернациональной дружбы продолжает пробовать разные форматы. Разговорная встреча в формате игры «Who am I?» - это уникальный опыт, когда участником удалось примерить на себя роли знаменитых персонажей кино и литеаратуоы, а также знаменитых личностей.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</si>
  <si>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Участники не просто выступили с докладами по определенному вопросу, но и обменивались репликами, уточняли позиции друг друга. В рамках дискуссии происходил свободный обмен мнениями, а в дальнейшем формулирование либо общего мнения, либо четко разграниченных разных позиций сторон.</t>
  </si>
  <si>
    <t>Физкультурное</t>
  </si>
  <si>
    <t xml:space="preserve">Внутривузовское </t>
  </si>
  <si>
    <t>Выездное мероприятие дало возможность участникам узнать больше о культуре и истории народов нашей республики, познамится с новыми туристическими маршрутами и узнать азы полевой кухни.</t>
  </si>
  <si>
    <t>Круглый стол на заданную тему</t>
  </si>
  <si>
    <t>Праздничный концерт, посвященный Дню Победы</t>
  </si>
  <si>
    <t>Встреча с ветеранами специальной военной операции «Мы едины»</t>
  </si>
  <si>
    <t>27.04.2025-30.04.2025</t>
  </si>
  <si>
    <t>г. Москва</t>
  </si>
  <si>
    <t>Всероссийский форум "Знание.Первые"</t>
  </si>
  <si>
    <t>Республиканская Студенческая весна – 2025</t>
  </si>
  <si>
    <t>Коллектив университета во главе с и.о. ректора КБГУ Юрием Альтудовым, представители общественности, деятели культуры и науки почтили память погибших минутой молчания. С приветственным словом к присутствующим обратился президент Международной черкесской ассоциации Хаути Сохроков.</t>
  </si>
  <si>
    <t>КБР, г. Нальчик, ул. Чернышевского, 228, Кафе «Инди».</t>
  </si>
  <si>
    <t>ИМиЕН</t>
  </si>
  <si>
    <t>В рамках мероприятия прошел концерт с участием различных  хореографических ансамблей, танцевальных студий,  ансамблей гармонистов и гитаристов Миланы Вологировой, алексея Лопатина и многих других.</t>
  </si>
  <si>
    <t>Мероприятие, посвященное памяти жертв Кавказской войны</t>
  </si>
  <si>
    <t>Выездное заседание Совета по биологии федерального УМО "биологические науки"</t>
  </si>
  <si>
    <t>Концерт, приуроченный ко Дню славянской письменности  и культуры и Дню филолога</t>
  </si>
  <si>
    <t>Научно-образовательный центр русского языка и культуры КБГУ</t>
  </si>
  <si>
    <t>Центр эстетического воспитания и художественного творчества предоставил для организации концертной программы творческие номера. В повестке заседания обсуждение вопросов современной биологии и трансфер фундаментальных знаний в высшее образование, обсуждение изменений нормативной базы высшего образования. В ходе проведения ФУМО планируется повышение квалификации по теме «Современная биология и трансфер фундаментальных знаний в высшее образование».</t>
  </si>
  <si>
    <t xml:space="preserve">Еженедельная партия по шахматам </t>
  </si>
  <si>
    <t>Актив клуба провел для студентов настольную игру "Бэнг: Меч самурая", что позволило также обсудить проблемы клуба, и возможности их решения.</t>
  </si>
  <si>
    <t>Актив клуба провел для студентов игру "Письма призрака" и смогли проверить схожесть мышления, обнаружение обмана, и развить навыки общения друг друга.</t>
  </si>
  <si>
    <t>Актив клуба провел для студентов игротеку  совместно с Киноклубом. Присутствующие смогли сыграть в интересные настолки по самым разным фильмам и сериалам. Например в: стратегическую "Игру Престолов: Второе издание", веселую "Рик и Морти: Всмортить всё", ассоциативную "Имоджинариум: Кино" и многие другие</t>
  </si>
  <si>
    <t>Актив клуба провел для студентов шахаматный турнир, целью которого стало  привлечение студентов к систематическим занятиям шахматами, и их интеллектуального развития, а также популяризация интеллектуальных видов спорта</t>
  </si>
  <si>
    <t>Участниками мероприятия стали студенты разных институтов и колледжей КБГУ, которое состояло из 2 этапов: 3 раунда развлекательно-творческих игр и второй этап: дискуссия на тему "Взаимоотношения, как часть социальной адаптации".</t>
  </si>
  <si>
    <t>Творческое мероприятие психологического клуба "1+1"</t>
  </si>
  <si>
    <t>Психологический клуб КБГУ "Harmos"</t>
  </si>
  <si>
    <t>Обучение Федеральных общественных наблюдателей</t>
  </si>
  <si>
    <t>КБР, Нальчик, КБГУ, ул. Чернешского 173, Темиркановский зал КБГУ.</t>
  </si>
  <si>
    <t xml:space="preserve">Проведен образовательный блок для лиц притендующих на звание  общественного наблюдателя, ребятам рассказали тонкости проведения ГИА, в конце второго дня провели собеседование. </t>
  </si>
  <si>
    <t>Комплексных Всероссийских соревнований сезона 2025</t>
  </si>
  <si>
    <t xml:space="preserve">Всероссийский </t>
  </si>
  <si>
    <t>09.05.2025-14.05.2025</t>
  </si>
  <si>
    <t>11 мая в матче НСФЛ группы «А» с Российским экономическим университетом сборная КБГУ провела матч и одержала уверенную победу. 12 мая команда КБГУ одержала вторую победу, обыграв Астраханский государственный университет. В серии пенальти КБГУ победил со счётом 4:2.</t>
  </si>
  <si>
    <t>Всероссийские сорвенования среди студентов по дзюдо</t>
  </si>
  <si>
    <t xml:space="preserve">г. Владикавказ </t>
  </si>
  <si>
    <t>16.05.2025-18.05.2025</t>
  </si>
  <si>
    <t>В г.Владикавказе прошли Всероссийские соревнования по дзюдо среди студентов. Представители команды КБГУ показали высокий уровень и заняли следующие призовые места: 
Кочесоков Амирхан — 1 место
Кунижев Ролан — 1 место 
Мурзабеков Ильяс — 1 место
Замбатов Кантемир — 3 место 
Жемухов Марат — 3 место.</t>
  </si>
  <si>
    <t>III этап Всероссийских соревнований среди студентов по волейболу в СКФО 2025 года</t>
  </si>
  <si>
    <t>ЧР, г. Грозный, дворец волейбола им.У.М.Ахтаева</t>
  </si>
  <si>
    <t>27.04.2025-02.05.2025</t>
  </si>
  <si>
    <t xml:space="preserve">С 27 апреля по 3 мая во Дворце волейбола им. У.М. Ахтаева в Грозном прошёл  III этап Всероссийских соревнований среди студентов по волейболу в Северо-Кавказском федеральном округе. Женская сборная КБГУ заняла 1 место на III этапе Всероссийских соревнований по волейболу среди студентов. </t>
  </si>
  <si>
    <t xml:space="preserve">Студенты КБГУ приняли участие в Республиканском этапе фестиваля "Студенческая весна". Участники продемонстрировали свои таланты в вокальном, танцевальном, театральном направлении, а также в направлениях оригинального жанра. </t>
  </si>
  <si>
    <t xml:space="preserve">Республиканский фестиваль "Студенческая весна" </t>
  </si>
  <si>
    <t xml:space="preserve">КБР, г. Нальчик, пр-кт Кулиева, д. 12, Дом молодежи </t>
  </si>
  <si>
    <t>Международная историческая акция на тему событий Великой Отечественной войны "Диктант Победы"</t>
  </si>
  <si>
    <t>Встречи с активистами структурных подразделений (СГИ)</t>
  </si>
  <si>
    <t>В неформальной обстановке проведены встречи со студенческим активом, которые включают в себя очное знакомство с активисами структурных подразделений, лекцию на ознакомление с деятельностью профкома, обсуждение дальнейшей работы структурного подразделения и главного студенческого профкома, обсуждение насущных вопросов студентов.</t>
  </si>
  <si>
    <t>Встречи с активистами структурных подразделений (ИМТиИГ)</t>
  </si>
  <si>
    <t>Встречи с активистами структурных подразделений (КД)</t>
  </si>
  <si>
    <t>Встреча родителей волонтёров с и.о. ректора Юрием Альтудовым</t>
  </si>
  <si>
    <t>УМПиВР КБГУ, волонтерский центр КБГУ</t>
  </si>
  <si>
    <t>В КБГУ состоялась встреча родителей волонтёров с и.о. ректора Юрием Альтудовым.
В ходе мероприятия обсуждались достижения студентов-волонтёров, их вклад в социальные проекты и инициативы университета, а также планы на будущее.
Юрий Камбулатович подчеркнул важность волонтёрской деятельности для формирования активной гражданской позиции у молодёжи и её роли в развитии общества.
Родители смогли задать вопросы касательно образовательного процесса, поддержки волонтёрских инициатив и возможностей для дальнейшего участия студентов в социальных проектах.
В завершение встречи Юрий Альтудов вручил грамоты и благодарственные письма наиболее активным волонтёрам и их родителям.</t>
  </si>
  <si>
    <t>Региональный этап Всероссийского проекта «МедиаПритяжение»</t>
  </si>
  <si>
    <t>Премьера спектакля по пьесе А. Позднякова «Дуськин взвод» .</t>
  </si>
  <si>
    <t>Повысилась осведомленность о роли женщин в войне и их вкладе в Победу. Мероприятие способствовало укреплению патриотического духа и памяти о героизме советских солдат. Спектакль вызвал живой отклик, стимулировал обсуждения и размышления о цене мира и значении мужества. Участниками стали студенты Кбгу.</t>
  </si>
  <si>
    <t>Кино-DnD.Lite по вселенным "Шрек" и "Ведьмак"</t>
  </si>
  <si>
    <t>Актив клуба провел для студентов уже двеннадцатую игру по упрощённой версии довольно знаменитой системы настольно ролевых игр «Подземелья и Драконы». Игра проводилась на 6-х столах. За каждым столом был ведущий, «Мастер подземелий». Участники отыгрывали роль каждый своего персонажа в фэнтезийном мире и проходили квест, приключение, подготовленное Мастером. Приключения проходили в вселенных "Шрека" и "Ведьмака".</t>
  </si>
  <si>
    <t>УМПиВР КБГУ, Киноклуб КБГУ, Клуб настольных игр КБГУ</t>
  </si>
  <si>
    <t>Настольная игра "Подземелья и драконы" по мотивам киновселенных</t>
  </si>
  <si>
    <t>15 мая в зале им С.Х. Темирканова прошло ежегодное мероприятие "Настольная игра "Подземелья и драконы" по мотивам киновселенных".</t>
  </si>
  <si>
    <t>Всероссийская акция БумБатл</t>
  </si>
  <si>
    <t>ТЭО "Зелёный дозор"</t>
  </si>
  <si>
    <t>ТЭО КБГУ "Зелёный дозор"</t>
  </si>
  <si>
    <t xml:space="preserve">Активисты клуба приняли участие во всероссийской еженедельной акции по сбору макулатуры. В акции приняли участие сотрудники ВУЗа, а также студенты, заинтересованные в сохранении экологии. </t>
  </si>
  <si>
    <t xml:space="preserve">Разговорная встреча на английском языке «Культурный обмен»
</t>
  </si>
  <si>
    <t xml:space="preserve">Проведена еженедельная разговорная встреча на английском языке, формат встречи подразумевает знакомство с традициями и удивительными особенностями разных культур.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</si>
  <si>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Съемки фильма о клинике ЭУНК КБГУ в рамках проекта "Горная медицина"</t>
  </si>
  <si>
    <t>Клуб междисциплинарной проектной деятельности принял участие в съемках документального фильма о КБГУ на федеральный канал телекомпании НТВ. Запись проводили в научно-клиническом центре горной медицины на базе ЭУНК КБГУ. Под руководством ассистента кафедры нормальной и патологической физиологии человека Медицинской академии КБГУ Анаевой Фатимы Магометовны и ординаторов Медицинской академии команда продемонстрировала работу обородувания и провела ряд обследований.</t>
  </si>
  <si>
    <t xml:space="preserve">Клуб провел всероссийскую акцию среди сотрудников и студентов структурных подразделений. </t>
  </si>
  <si>
    <t>УМПиВР КБГУ, Высшая школа международного образования КБГУ</t>
  </si>
  <si>
    <t>В КБГУ впервые состоялся фестиваль с участием иностранных обучающих. Студенты подготовили праздничное открытие мероприятия, где участники представили творческие номера, отражающие их культурное наследие. Мероприятие проходило во внутреннем дворе под открытым небом, где на площадках установили этнические подворья. Гости могли попробовать блюда народов мира, узнать о традициях разных стран через мастер-классы и предметы быта.</t>
  </si>
  <si>
    <t>Выездное экскурсионное мероприятие в Республику Северная Осетия-Алания</t>
  </si>
  <si>
    <t>Выездное экскурсионное мероприятие в Донгуз Орун-Кель</t>
  </si>
  <si>
    <t>Образовательное</t>
  </si>
  <si>
    <t>Кавказский инвестиционный форум</t>
  </si>
  <si>
    <t>г. Минеральные Воды, 
Автомобильная ул., 31, хутор Красный Пахарь, МВЦ «МинводыЭКСПО»</t>
  </si>
  <si>
    <t>Коллаборация клуба настольных игр и клуба интернациональной дружбы</t>
  </si>
  <si>
    <t xml:space="preserve">Прошла коллаборация Клуба интернациональной дружбы и Клуба настольных игр «Куб» - весёлый вечер, проведённый за настольными играми и общением между активистами двух клубов. </t>
  </si>
  <si>
    <t>Фестиваль для иностранных обучающихся «ИнтерФест»</t>
  </si>
  <si>
    <t>В КБГУ впервые состоялся фестиваль с участием иностранных обучающих. Студенты подготовили праздничное открытие мероприятия, где участники представили творческие номера, отражающие их культурное наследие. Мероприятие проходило во внутреннем дворе под открытым небом, где на площадках установили этнические подворья. Гости могли попробовать блюда народов мира, узнать о традициях разных стран через мастер-классы и предметы быта. Представители Добро.Центр оказали помощь в подготовке мероприятия.</t>
  </si>
  <si>
    <t>Чемпионат по гонкам дронов Кабардино-Балкарской Республики, посвящённый 80 летию победы в Великой Отечественной войне</t>
  </si>
  <si>
    <t>КБР, г. Нальчик, ул. Толстого, ФСК КБГУ</t>
  </si>
  <si>
    <t>На базе КБГУ состоялся чемпионат по гонкам дронов Кабардино-Балкарской Республики, посвящённый 80 летию победы в Великой Отечественной войне. Помощь в организации мероприятия оказали представители Добро.Центр КБГУ.</t>
  </si>
  <si>
    <t>Встреча с амбассадором международной премии #МЫВМЕСТЕ</t>
  </si>
  <si>
    <t xml:space="preserve">27 мая, в стенах Кабардино-Балкарского государственного университета прошла встреча с Амбассадором Международной премии #МЫВМЕСТЕ 2025  - Салимой Балаевой. 
На встрече участники узнали: 
- Что такое Международная  Премия #МЫВМЕСТЕ 2025.
- Как подать заявку для участия в Международной  Премии #МЫВМЕСТЕ 2025.
- Какую пользу может принести участие в Международной Премии #МЫВМЕСТЕ 2025. </t>
  </si>
  <si>
    <t>Сотрудники и студенты КБГУ отправили гуманитарный груз в зону специальной военной операции в рамках акции «Вузы для фронта».
Дизельные генераторы, набор инструментов, продукты питания, медикаменты и теплые вещи будут доставлены бойцам казачьей бригады «Терек».
Инициатива является частью всероссийской акции «Вузы для фронта», в рамках которой университеты оказывают помощь военнослужащим. Студенты и преподаватели активно участвуют в сборе необходимых вещей, поддерживая тех, кто находится сейчас на передовой.
Представители Добро.Центр КБГУ оказали помощь в организации мероприятия.</t>
  </si>
  <si>
    <t>Донорская акция "Код Донора"</t>
  </si>
  <si>
    <t>Координациональный профилактический центр КБГУ, ЦОР Добро.Центр КБГУ</t>
  </si>
  <si>
    <t>Всероссийская акция «Код донора», посвящённая национальному Дню донора России, собрала на плацу КБГУ студентов и работников вуза, желающих стать донорами крови и костного мозга. Здесь же расположилась передвижная станция донации крови Минздрава КБР.
Участники акции смогли узнать о важности донорства, его роли в спасении жизней и поддержании здоровья общества. Специалисты медицинских учреждений провели лекции и мастер-классы, где рассказали о процессе донорства, его преимуществах и необходимых условиях для доноров. Все желающие могли пройти медицинское обследование и сдать кровь на месте, что позволило не только пополнить запасы крови в местных больницах, но и повысить осведомленность о значимости донорства среди молодежи,
- рассказал директор Координационного профилактического центра Исхак Мурачаев.
Организаторами мероприятия стали сотрудники Координационного профилактического центра совместно с Министерством здравоохранения Кабардино-Балкарской Республики и при поддержке «ДоброЦентра» КБГУ и регионального отделения «СоюзМашРоссии».
Акцию украсили своими выступлениями юные исполнители продюсерского центра Марьяны Казановой "La stella".</t>
  </si>
  <si>
    <t>Встреча председателя ЦРО "Международная исламская миссия" Шафига Пшихачева со студентами КБГУ</t>
  </si>
  <si>
    <t>Координациональный профилактический центр КБГУ, ИППиФСО КБГУ</t>
  </si>
  <si>
    <t>Совместно с Институтом педагогики, психологии и ФСО в Центре культуры им. Х.С. Темирканова организована встреча председателя ЦРО "Международная исламская миссия" Шафига Пшихачева со студентами КБГУ, проведенная в формате междисциплинарного семинара на тему " Вклад мусульман в Великую Победу".
Мероприятие приурочено к 80-летней годовщине Победы в Великой Отечественной войне.
Пшихачев Ш.А. рассказал наших земляках-мусульманах, которые в годы Великой Отечественной войны в оккупированных немцами селениях прятали у себя в домах партийных работников и членов их семей от расправы.
Наряду с Пшихачевым Ш.А. перед студентами выступил с сообщением и доцент кафедры всеобщей истории СГИ КБГУ Азамат Татаров, рассказавший о причинах особого интереса Гитлера к Кавказу, об истории формирования 115 -й кавалерийской дивизии, представившей перед всей Россией народ Кабардино-Балкарии.
Рассуждая о современном положении России на международной арене, Пшихачев Ш.А. отметил, что в обстоятельствах навязываемых Западом ценностей священный долг нашего народа - отстоять себя.
"Победа всегда будет за нами!"</t>
  </si>
  <si>
    <t xml:space="preserve">Благотворительная акция в Доме престарелых "День Добра" </t>
  </si>
  <si>
    <t>ЦОР "Добро.Центр" КБГУ</t>
  </si>
  <si>
    <t>Представителями Добро Центра КБГУ организована концертная программа для постояльцев Дома престарелых.</t>
  </si>
  <si>
    <t>Благотворительное мероприятие в реабилитационном центре для детей "НАМЫС"</t>
  </si>
  <si>
    <t xml:space="preserve">КБР, г. Нальчик, "НАМЫС" ул. Добровольского, 36 </t>
  </si>
  <si>
    <t>Центр гражданско-патриотического воспитания КБГУ совместно с патриотическим клубом «Кавказ», первичным отделением «Движение Первых» КБГУ, Штабом Юнармии по КБР, Молодой гвардией Единой России, Волонтерской ротой боевого братства провели благотворительное мероприятие в реабилитационном центре для детей «НАМЫС»</t>
  </si>
  <si>
    <t>Центр гражданско-патриотического воспитания КБГУ, патриотический клуб "Кавказ" КБГУ</t>
  </si>
  <si>
    <t>Мастер-класс по плетению маскировочной сети</t>
  </si>
  <si>
    <t xml:space="preserve">Волонтеры «Добро.Центра»КБГУ, совместно с Центром гражданско-патриотического воспитания КБГУ и патриотическим клубом "Кавказ" плетут маскировочную сеть для наших бойцов. </t>
  </si>
  <si>
    <t>10.04.2025-11.04.2025</t>
  </si>
  <si>
    <t>Благотворительная акция "День Добра"</t>
  </si>
  <si>
    <t xml:space="preserve">КБР, г. Нальчик, "НДИПИ", ул. Калмыкова, 242 </t>
  </si>
  <si>
    <t>«Добро.Центр» КБГУ совместно с Центром гражданско-патриотического воспитания КБГУ провели Благотворительную акцию «День Добра» в Нальчикском дом-интернате для престарелых и инвалидов Министерства труда, занятости и социальной защиты Кабардино-Балкарской республики.</t>
  </si>
  <si>
    <t>Центр гражданско-патриотического воспитания КБГУ</t>
  </si>
  <si>
    <t xml:space="preserve">25 апреля в Кабардино-Балкарском государственном университете им. Х. М. Бербекова прошла ежегодная Международная просветительско-патриотической акции «Диктант Победы». Ровно в полдень к официальному открытию подключился и КБГУ – более 500 участников из числа студентов и преподавателей вуза. </t>
  </si>
  <si>
    <t>Встреча студентов с героями Российской Федерации Виктором Маркеловым и Сергеем Борисюком</t>
  </si>
  <si>
    <t>Организован экскурсионный выезд в Приэльбрусье. Был проведен маршрут к озеру Донгуз-орун кель</t>
  </si>
  <si>
    <t>Культурно-творческое, гражданское</t>
  </si>
  <si>
    <t>Всероссийский молодежный межнациональный лагерь «Диалог культур»</t>
  </si>
  <si>
    <t>г. Нижний Новгород</t>
  </si>
  <si>
    <t>Международный туристический форум «Путешествуй!»</t>
  </si>
  <si>
    <t>Финал Регионального этапа Всероссийского конкурса "Студенческий Лидер - 2025"</t>
  </si>
  <si>
    <t xml:space="preserve">«Студлидер» — это всероссийский конкурс для студентов, проект Общероссийского Профсоюза образования.  Конкурс проходит в несколько этапов: от первички вуза через региональный этап, затем уровень федерального округа и финал, куда съезжаются студенты — лидеры и активисты студенческих профсоюзных организаций со всей России. 
В ходе конкурса участники демонстрируют навыки публичного выступления, знания законодательства в сфере образования и проектной деятельности и другие компетенции. </t>
  </si>
  <si>
    <t>Треннинг Джефферсона на тему «Стандарты красоты»</t>
  </si>
  <si>
    <t xml:space="preserve">Игра Джефферсона - это уникальный формат, сочетающий в себе элементы дебатов и дискуссии. В этот раз темой обсуждения стали стандарты красоты.  Участники отстояли свои точки зрения, находя убедительные аргументы.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</si>
  <si>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09.06.2025 - 13.06.2025</t>
  </si>
  <si>
    <t>10.06.2025 - 15.06.2025</t>
  </si>
  <si>
    <t>Мониторинг ГИА 2025</t>
  </si>
  <si>
    <t>КБР, места проведения ГИА</t>
  </si>
  <si>
    <t xml:space="preserve">КБР, г. Нартан, ул. Ленина, 100 </t>
  </si>
  <si>
    <t>Активисты центра провели благотворительную акцию «Подари радость детям!» и посетили «Центр сопровождения детей-сирот и детей оставшихся без попечения родителей».</t>
  </si>
  <si>
    <t>Акция "День России"</t>
  </si>
  <si>
    <t>Гала концерт Фестиваля художественного творчества студентов КБГУ «Студенческая весна – 2025»</t>
  </si>
  <si>
    <t>Подведены итоги Фестиваля художественного творчества студентов КБГУ «Студенческая весна – 2025»:
1 место – Институт педагогики, психологии и физкультурно-спортивного образования и Педагогический колледж (ИППиФСОиПК). 
2 место – Институт электроники, робототехники и искусственного интеллекта (ИЭРиИИ).
3 место – Социально-гуманитарный институт (СГИ).  
В номинации «Самый активный институт Студенческой весны-2025 в социальных сетях» победила команда Института электроники, робототехники и искусственного интеллекта (ИЭРиИИ).</t>
  </si>
  <si>
    <t xml:space="preserve">Команда Кабардино-Балкарского государственного университета им. Х.М. Бербекова представила лучшие номера на Республиканской Студенческой весне – 2025. </t>
  </si>
  <si>
    <t>с 18 по 22 2025 г. в ФСК КБГУ прошли соревнования по футзалу XLI Спартакиады студентов и аспирантов КБГУ. В общем в соревнованиях участвовали 117 студентов. Определены победители и призеры, где 1 место взяли ИППиФСО , 2 место - Пед колледж , 3 место - ВШМО.</t>
  </si>
  <si>
    <t>Первый Северо-Кавказский студенческий фестиваль народных игр и спорта «Сила в единстве»</t>
  </si>
  <si>
    <t>27.04.2025 - 29.04.2025</t>
  </si>
  <si>
    <t>В Центре развития современного пятиборья города Нальчика состоялось открытие первого Северо-Кавказского студенческого фестиваля народных игр и национальных видов спорта «Сила в единстве». 
Мероприятие, приуроченное к 80-летию Великой Победы и Году защитника Отечества, объединило более сотни молодых спортсменов из регионов округа, Донецкой и Луганской народных республик, Запорожской и Херсонской областей, а общее количество участников составило свыше 1,2 тысячи человек. 
В ходе церемонии открытия состоялся парад с флагами регионов, гостей ждали также выступления творческих коллективов. 
В первый день турнира стартовали спортивные состязания по десяти традиционным дисциплинам: метанию камня, армреслингу, перетягиванию палки, прыжковому двоеборью, легкоатлетической эстафете, городкам, перетягиванию каната, борьбе на поясах, стрельбе из лука и лазанию на столб. 
В сопровождении Главы Кабардино-Балкарской Республики Казбека Кокова и Главы Республики Северная Осетия-Алания Сергея Меняйло полпред ознакомился и с представленной в рамках фестиваля выставочной экспозицией народных промыслов и декоративно-прикладного искусства народов региона, осмотрел военно-патриотическую зону, где проходил мастер-класс по управлению дроном. 
Мероприятие проводится Кабардино-Балкарским государственным университетом им. Х.М.Бербекова при поддержке и по инициативе аппарата полномочного представителя Президента РФ в СКФО.</t>
  </si>
  <si>
    <t>Делегация вуза приняла участие в масштабном мероприятии. Одной из центральных площадок форума стала лекция заместителя председателя Совета Безопасности РФ Дмитрия Медведева. В рамках открытого диалога Алим Бозиев задал политику прямой вопрос: чем, по его мнению, завершится ситуация на Украине? Форум стал важной площадкой для обсуждения значимых тем, обмена мнениями и выстраивания открытого диалога между молодежью и представителями власти.</t>
  </si>
  <si>
    <t>В рамках празднования 80-летия Великой Победы и Года защитника Отечества в Кабардино-Балкарском государственном университете им. Х.М. Бербекова состоялась встреча с героями Российской Федерации Виктором Маркеловым и Сергеем Борисюком. 
Почетные гости, вместе с председателем ветеранской организации вуза Хасаном Шурдумовым и проректором по общим вопросам Муратом Гукепшоковым, возложили цветы к Памятнику студентам, преподавателям и сотрудникам КБГУ, погибшим в годы Великой Отечественной войны.
Герои РФ ответили на вопросы студентов, рассказали об опыте участия в военных действиях и о том, как важно быть готовым к защите своей Родины.</t>
  </si>
  <si>
    <t>В Кабардино-Балкарском государственном университете им. Х.М. Бербекова состоялась встреча с ветеранами специальной военной операции: Германом Шевчуком, Романом Коваленко, Ахмедом Пшихачевым, Эльдаром Чеченовым и заместителем руководителя фонда «Защитники Отечества» Зульфией Пшихачевой.
В рамках мероприятия состоялось торжественное вручение благодарственных писем спикерам за существенный вклад в патриотическое воспитание студенческой молодежи КБГУ.</t>
  </si>
  <si>
    <t>«Светлые страницы Победы: Литературное наследие» в рамках литературно-патриотического проекта «Русские чтения»</t>
  </si>
  <si>
    <t>В рамках празднования 80-летия Великой Победы и Года защитника Отечества в Кабардино-Балкарском государственном университете им. Х.М. Бербекова состоялось торжественное возложение цветов к памятнику студентам, преподавателям и сотрудникам КБГУ, погибшим в годы Великой Отечественной войны.</t>
  </si>
  <si>
    <t>В рамках празднования 80-летия Великой Победы и Года защитника Отечества в Кабардино-Балкарском государственном университете им. Х.М. Бербекова состоялся праздничный концерт. На сцене у главного корпуса КБГУ творческие объединения вуза исполнили патриотические песни и танцевальные номера.</t>
  </si>
  <si>
    <t>В Кабардино-Балкарском государственном университете им. Х.М. Бербекова стартовала торжественная программа празднования 80-летия Великой Победы.
Гости нашего вуза, представители Общероссийской общественно-государственной организации «Ассамблея народов России», посетили выставку в холле главного корпуса КБГУ, посвящённую защитникам Отечества.
Также состоялся круглый стол «Светлые страницы Победы: Литературное наследие», организованный в рамках литературно-патриотического проекта «Русские чтения». 
Участниками дискуссии стали: представители органов власти, историки, литературоведы, преподаватели русского языка и литературы, студенты, представители национальных культурных центров, ветеранских организаций, участники специальной военной операции, религиозные деятели. 
В рамках «Русских чтений» состоялась церемония гашения почтовой марки серии «Мой друг, Отчизне посвятим», посвященная Всероссийскому филателистическому маршруту. Процедуру провели председатель Регионального отделения «Ассамблеи народов России» Хаути Сохроков, гендиректор Ассамблеи народов России Александр Даркович и руководитель Нальчикского филиала фонда содействия развитию карачаево-балкарской молодежи «Эльбрусоид» Марат Анаев.</t>
  </si>
  <si>
    <t>Праздничный концерт, посвященный празднованию 80-летия Великой Победы и Года защитника Отечества в Кабардино-Балкарском государственном университете им. Х.М. Бербекова</t>
  </si>
  <si>
    <t>Концерт Государственного фольклорного ансамбля песни и пляски «Терские казаки»</t>
  </si>
  <si>
    <t>Региональный этап Всероссийского проекта «МедиаПритяжение» состоялся в КБГУ
В Студенческом центре КБГУ «Альтаир» собрались тринадцать сильнейших команд КБР, чтобы выбрать лучших медийщиков республики. 
Для участников проекта был организован образовательный блок, в рамках которого прошли мастер-классы от фотографа и блоггера Джамили Кучуковой, графического дизайнера Булата Бербекова и стратегическая сессия «Детское и молодежное МедиаСообщество» от тренера по публичным выступлениям, режиссёра и сценариста Юлии Овдиенко.</t>
  </si>
  <si>
    <t>В киноконцертном зале им. А.Н. Сокурова состоялся концерт Государственного фольклорного ансамбля песни и пляски «Терские казаки».
Специальной гостьей шоу стала заслуженная артистка КБР Ирина Даурова.</t>
  </si>
  <si>
    <t>24.05.2025 - 02.06.2025</t>
  </si>
  <si>
    <t>Федеральный проект «Университетские смены» - 1 смена</t>
  </si>
  <si>
    <t>г. Евпатория, СК Арена</t>
  </si>
  <si>
    <t xml:space="preserve">Федеральный проект «Университетские смены» стартовал в Эльбрусском учебно-научном комплексе Кабардино-Балкарского государственного университета им. Х.М. Бербекова. Участниками первого заезда стали 136 школьников из Луганской Народной Республики. Ребята стали участниками экскурсий, спортивных соревнований, творческих вечеров и квестов, мастер-классов от преподавателей вуза, деловых игр и тренингов. Университетские смены» предлагают старшеклассникам новые знания и навыки, знакомство с университетом, помощь в выборе профессии и незабываемый отдых в горах Кабардино-Балкарии. Одной из приоритетных задач проекта является содействие в психологической реабилитации детей из ДНР и ЛНР, Запорожской и Херсонской областей.
</t>
  </si>
  <si>
    <t>Акция «Вузы для фронта»</t>
  </si>
  <si>
    <t>Сотрудники и студенты Кабардино-Балкарского государственного университета им. Х.М. Бербекова отправили гуманитарный груз в зону специальной военной операции.
Дизельные генераторы, набор инструментов, продукты питания, медикаменты и теплые вещи будут доставлены бойцам казачьей бригады «Терек». 
Сбором гуманитарной помощи, а также организационными вопросами занимался Центр гражданско-патриотического воспитания молодежи КБГУ совместно с Центром общественного развития «Добро.Центр» КБГУ и штабом «МЫВМЕСТЕ».</t>
  </si>
  <si>
    <t>Центр гражданско-патриотического воспитания молодежи КБГУ</t>
  </si>
  <si>
    <t xml:space="preserve">Студенты КБГУ приняли участие в Кавказском инвестиционном форуме, который является значимым экономическим событием на юге России, направленным на развитие инвестиционного потенциала региона. В рамках мероприятия студенты вуза представили проект «Телемедицина и Здоровье Гор». Форум выступает платформой для взаимодействия бизнеса, власти и инвесторов, способствуя привлечению инвестиций в экономику Северного Кавказа. </t>
  </si>
  <si>
    <t xml:space="preserve">Провели мероприятие подведения итогов работы за семестр и презентацию проекта "Горная медицина" сотрудникам и администрации КБГУ. Каждый участник клуба рассказал о своей части проекта, о проведенной работе. Также прошло награждение кураторов и участников благодарностями </t>
  </si>
  <si>
    <t>В преддверии Дня России с 9 по 13 июня 2025 года в г. Нижнем Новгороде прошел V Всероссийский молодежный межнациональный лагерь «Диалог культур». Мероприятие организовано Федеральным агентством по делам национальностей при поддержке Правительства Нижегородской области.
Программа мероприятия: образовательная программа, встречи с экспертным сообществом, представителями власти, культуры и бизнеса, тематические мастер-классы, интеллектуальные игры.
Студенты вуза представили массовый творческий танцевальный номер, отражающий национальную культуру народов республики.</t>
  </si>
  <si>
    <t xml:space="preserve">В главном корпусе Кабардино-Балкарского государственного университета  им. Х.М. Бербекова состоялся траурный митинг памяти погибших в результате теракта в Брянской области. </t>
  </si>
  <si>
    <t>Траурный митинг памяти погибших в результате теракта в Брянской области</t>
  </si>
  <si>
    <t xml:space="preserve">Отчетно-выборная конференция студентов КБГУ </t>
  </si>
  <si>
    <t>УМПиВР КБГУ, Студенческий совет КБГУ</t>
  </si>
  <si>
    <t xml:space="preserve">Отчетно-выборная конференция состоялась в киноконцертном зале им. А.Н. Сокурова и собрала делегатов  всех студенческих советов институтов. 
Султан Кишев, студент-магистрант института электроники, робототехники и искусственного интеллекта Кабардино-Балкарского государственного университета им Х.М. Бербекова, был избран председателем Студенческого совета КБГУ. </t>
  </si>
  <si>
    <t>Финал 7 сезона молодежной предпринимательской программы «Я в деле»</t>
  </si>
  <si>
    <t>Финал 7 сезона молодежной предпринимательской программы «Я в деле» состоялся в центре культуры им. Х.С. Темирканова</t>
  </si>
  <si>
    <t xml:space="preserve">Студенты и сотрудники Кабардино-Балкарского государственного университета им. Х.М. Бербекова приняли участие в акции «Сад памяти», приуроченной ко Дню России.
В рамках акции участники высаживают деревья, создавая зеленые памятники героям Великой Отечественной войны и одновременно способствуя сохранению и восстановлению лесного фонда. </t>
  </si>
  <si>
    <t>Акция «Сад памяти», приуроченная ко Дню России</t>
  </si>
  <si>
    <t>Акция «Передача Государственного флага Российской Федерации»</t>
  </si>
  <si>
    <t>Студенты и сотрудники КБГУ присоединились к акции «Передача Государственного флага Российской Федерации», которая состоялась в рамках празднования Дня России.</t>
  </si>
  <si>
    <t>Совместно с представителями Министерства курортов и туризма КБГУ делегация КБГУ представили для посетителей павильона КБР массовые игрища, выставки национальных подворий и мастер-классы. 
Участники могли познакомиться с уникальными ремеслами, попробовать традиционные блюда и узнать больше о туристических маршрутах региона.</t>
  </si>
  <si>
    <t>Федеральные общественные наблюдатели Кабардино-Балкарской Республики (студенты вуза) осуществили мониторинг процедуры проведения Государственной итоговой аттестации.</t>
  </si>
  <si>
    <t>Волонтёры Добро.Центра КБГУ поздравили жителей и гостей города с Днем России. Совместно с Министерством по делам национальностей и общественным проектам Кабардино-Балкарской Республики была организована яркая праздничная акция.</t>
  </si>
  <si>
    <t>Презентация проекта "Горная медицина" . Подведение итогов</t>
  </si>
  <si>
    <t>Клуб междисциплинарной проектной деятельности КБГУ  "VIDA"</t>
  </si>
  <si>
    <t>Акция "Подари радость детям"</t>
  </si>
  <si>
    <t>Открытый диалог с заместителем Министра науки и высшего образования РФО.В. Петровой</t>
  </si>
  <si>
    <t>Праздничная программа с вокальными и танцевальными выступлениями артистов, а также благотворительная ярмарка были приурочены к Дню молодёжи.</t>
  </si>
  <si>
    <t>Квест-игрра "Ночной дозор"</t>
  </si>
  <si>
    <t>Был организован и проведён ночной квест-игра по территории КБГУ. Студенты детально освоили территорию кампуса, ознакомившись с расположением ключевых объектов и помещений вуза.  Кроме того, квест создал позитивный эмоциональный фон, который способствовал созданию комфортной атмосферы в студенческом коллективе и повышению общего настроя участников.</t>
  </si>
  <si>
    <t>Программа по развитию молодежного предпринимателства "Я в деле"</t>
  </si>
  <si>
    <t>В КБГУ состоялся открытый диалог с заместителем Министра науки и высшего образования РФ Ольгой Петровой.
Ольга Викторовна подчеркнула важность реализации национальных целей, сформулированных в 309 указе президента РФ Владимира Путина, особенно в сфере образования, технологического лидерства и демографической политики. 
В ходе встречи прошла презентация работы Совета обучающихся в Кабардино-Балкарии, а также представлены лучшие практики студенческих советов вузов республики.</t>
  </si>
  <si>
    <t>Средневековая ярмарка в КБГУ на День молодежи</t>
  </si>
  <si>
    <t>Клуб интернациональной дружбы КБГУ, клуб настольных игр КБГУ «Куб»</t>
  </si>
  <si>
    <t>Праздничное мероприятие, посвящённое Дню молодёжи</t>
  </si>
  <si>
    <t>Сотрудники и студенты КБГУ приняли участие в праздничном мероприятии, посвящённом Дню молодёжи, которое прошло в Доме молодёжи.</t>
  </si>
  <si>
    <t>Торжественное вручение дипломов студентам Института педагогики, психологии и физкультурно-спортивного образования</t>
  </si>
  <si>
    <t>ИППиФСО КБГУ</t>
  </si>
  <si>
    <t>В киноконцертном зале им. А.Н. Сокурова состоялось торжественное вручение дипломов студентам Института педагогики, психологии и физкультурно-спортивного образования КБГУ.
Выпускников КБГУ поздравил заместитель председателя Парламента КБР, олимпийский чемпион Мурат Карданов.
Торжественное вручение, проходившее в киноконцертном зале  им. А.Н. Сокурова, собрало выпускников, преподавателей, а также их родных и друзей, чтобы отметить важный этап в жизни молодых специалистов.</t>
  </si>
  <si>
    <t>КБР, г. Нальчик, Кирова, 1 Д</t>
  </si>
  <si>
    <t>КБР, г. Нальчик, ул. Калмыкова, 242</t>
  </si>
  <si>
    <t xml:space="preserve">КБР, г. Нальчик, медицинский колледж, актовый зал </t>
  </si>
  <si>
    <t>КБР, г. Нальчик, Центр развития современного пятиборья / Детский стадион / Дворец спорта / Стадион "Спартак"</t>
  </si>
  <si>
    <t>РСО-Алания, Куртатинское ущелье</t>
  </si>
  <si>
    <t>КБР, г. Нальчик,  ул. Кабардинская, 1, Театр юного зрителя</t>
  </si>
  <si>
    <t>Колледж дизайна КБГУ</t>
  </si>
  <si>
    <t xml:space="preserve">Торжественное вручение дипломов студентам Колледжа дизайна состоялось в киноконцертном зале им. А.Н. Сокурова.
Выпускников поздравили проректор КБГУ по перспективным проектам Танзиля Махиева, председатель Кабардино-Балкарской организации ВТОО «Союз художников России» Жанна Канукова, генеральный директор национального музея КБР Феликс Наков и Елена Ремхен, директор Кабардино-Балкарского музея изобразительных искусств им. А. Л. Ткаченко, пожелав успешной карьеры и новых достижений. </t>
  </si>
  <si>
    <t>Торжественное вручение дипломов студентам Мединского колледжа</t>
  </si>
  <si>
    <t>Медицинский колледж КБГУ</t>
  </si>
  <si>
    <t>Торжественное вручение дипломов студентам Колледжа информатционных технологий и экономики</t>
  </si>
  <si>
    <t>Колледж информационных технологий и экономики КБГУ</t>
  </si>
  <si>
    <t>Торжественное вручение дипломов студентам Института архитектуры, строительства и дизайна</t>
  </si>
  <si>
    <t>Институт архитектуры, строительства и дизайна КБГУ</t>
  </si>
  <si>
    <t>Торжественное вручение дипломов студентам Института стоматологии и челюстно-лицевой хирургии</t>
  </si>
  <si>
    <t>Институт стоматологии и челюстно-лицевой хирургии КБГУ</t>
  </si>
  <si>
    <t>Торжественное вручение дипломов выпускникам института архитектуры, строительства и дизайна Кабардино-Балкарского государственного университета им. Х.М. Бербекова.
ИАСиД КБГУ в этом году выпустил 118 инженеров-строителей и архитекторов. Обладателями красного диплома стали 16 выпускников.
И.о. ректора КБГУ Юрий Альтудов поздравил молодых специалистов и пожелал успехов в профессиональной деятельности.</t>
  </si>
  <si>
    <t>04.07.2025 - 07.07.2025</t>
  </si>
  <si>
    <t>Второй образовательный модуль проекта «Лаборатория будущего» прошел в Нальчике.
В проекте приняли участие работники и студенты КБГУ в качестве соорганизаторов и членов команд.
Модуль включал в себя интенсивную программу лекций, дискуссий и практической проектной работы, направленной на приобретение участниками навыков стратегического планирования и креативного подхода к решению общественных проблем.
В повестке мероприятия вопросы защиты исторической памяти и традиционных духовно-нравственных ценностей России, а также укрепление общероссийской гражданской идентичности.
Под руководством наставников команды создали социально-значимые инициативы, направленные на формулирование конструктивного образа будущего и развитие регионов Северного Кавказа.</t>
  </si>
  <si>
    <t>Второй образовательный модуль проекта «Лаборатория будущего»</t>
  </si>
  <si>
    <t>В Доме молодежи прошла торжественная церемония вручения дипломов выпускникам Медицинской академии Кабардино-Балкарского государственного университета имени Х.М. Бербекова. 
Дипломы получили 387 выпускников, из них 30 окончили вуз с отличием.</t>
  </si>
  <si>
    <t>В киноконцертном зале им. А.Н. Сокурова состоялось торжественное вручение дипломов выпускникам института стоматологии и челюстно-лицевой хирургии КБГУ.</t>
  </si>
  <si>
    <t>Торжественное вручение дипломов студентам Медицинской академии</t>
  </si>
  <si>
    <t>Медицинская академия КБГУ</t>
  </si>
  <si>
    <t>В киноконцертном зале им. А.Н. Сокурова состоялось торжественное вручение дипломов выпускникам колледжа информационных технологий и экономики КБГУ.</t>
  </si>
  <si>
    <t>В киноконцертном зале им. А.Н. Сокурова состоялось торжественное вручение дипломов выпускникам медицинского колледжа КБГУ.</t>
  </si>
  <si>
    <t>В киноконцертном зале им. А.Н. Сокурова состоялось торжественное вручение дипломов выпускникам педагогического колледжа КБГУ.
С успешным завершением обучения выпускников поздравили: министр просвещения и науки КБР Анзор Езаов, начальник управления министерства юстиции по КБР Жантемир Кужонов, проректор КБГУ по общим вопросам Мурат Гукепшоков, директор педагогического колледжа КБГУ Фатима Ашабокова.</t>
  </si>
  <si>
    <t>Педагогический колледж КБГУ</t>
  </si>
  <si>
    <t>Торжественное вручение дипломов студентам Педагогического колледжа</t>
  </si>
  <si>
    <t>Торжественное вручение дипломов студентам колледжа дизайна</t>
  </si>
  <si>
    <t xml:space="preserve">Торжественное вручение дипломов студентам Института электроники, робототехники и искусственного интеллекта </t>
  </si>
  <si>
    <t>В киноконцертном зале им. А.Н. Сокурова состоялось торжественное вручение дипломов выпускникам института электроники, робототехники и искусственного интеллекта  КБГУ.</t>
  </si>
  <si>
    <t>Физическое, духовно-нравственное</t>
  </si>
  <si>
    <t>Поход на 1000 ступеней</t>
  </si>
  <si>
    <t>КБР, г. Нальчик, гора Нартия</t>
  </si>
  <si>
    <t>Совместно с иностранными студентами был организован поход на 1000 ступенек в целях пропаганеды здорового образа жизни.</t>
  </si>
  <si>
    <t>12.07.2025-21.07.2025</t>
  </si>
  <si>
    <t>Федеральный проект «Университетские смены» - 2 смена</t>
  </si>
  <si>
    <t>В Эльбрусском учебно-научном комплексе Кабардино-Балкарского государственного университета им. Х.М. Бербекова проходит 2смена в рамках Федерального проекта «Университетские смены». Участниками второго заезда стали 110 активистов Общероссийского общественно-государственного движения детей и молодежи «Движение Первых» из 20 регионов Российской Федерации. Разработана углубленная профориентацияонная программа с совмещением спортивных, туристических, культурно-творческих мероприятий.
В рамках программы участники посетили Кабардино-Балкарский государственный университет им. Х.М. Бербекова и поднялись по канатной дороге на Эльбрус.</t>
  </si>
  <si>
    <t xml:space="preserve">Добровольческое </t>
  </si>
  <si>
    <t>Выездное экскурсионное мероприятие "Девичьи косы"</t>
  </si>
  <si>
    <t>Организован экскурсионный выезд в Приэльбрусье. Был проведен треккинг к водопаду «Девичьи Косы».</t>
  </si>
  <si>
    <t>Торжественное вручение дипломов студентам Института математики и естественных наук</t>
  </si>
  <si>
    <t>Институт математики и естественных наук КБГУ</t>
  </si>
  <si>
    <t>Торжественное вручение дипломов выпускникам института математики и естественных наук Кабардино-Балкарского государственного университета им. Х.М. Бербекова
С успешным завершением обучения выпускников поздравили: и.о. ректора КБГУ Юрий Альтудов, первый заместитель Председателя Правительства КБР Муаед Кунижев, проректор по учебной работе КБГУ Вадим Лесев, ветеран СВО, депутат Парламента КБР Герман Шевчук, депутат Парламента КБР Сафарби Шхагапсоев, директор общества с ограниченной ответственностью «Машук-фарм» Ильяс Машуков, учёный секретарь института ядерных исследований РАН, кандидат физико-математических наук Анна Вересникова.</t>
  </si>
  <si>
    <t>Торжественное вручение дипломов студентам Института менеджмента, туризма и индустрии гостеприимства</t>
  </si>
  <si>
    <t>Институт менеджмента, туризма и индустрии гостеприимства КБГУ</t>
  </si>
  <si>
    <t xml:space="preserve">Торжественное вручение дипломов выпускникам института менеджмента, туризма и индустрии гостеприимства Кабардино-Балкарского государственного университета им. Х.М. Бербекова
С успешным завершением обучения выпускников поздравили: и.о. ректора КБГУ Юрий Альтудов, директор института менеджмента, туризма и индустрии гостеприимства КБГУ Рамазан Лигидов, руководитель управления федерального казначейства КБР Шумахо Утижев, начальник отдела правового обеспечения Министерства курортов и туризма КБР Джабраил Карежев, проректор КБГУ по учебной работе Вадим Лесев, генеральный директор акционерного общества «Курорт Нальчик» Хасанби Афов, заместители генерального директора - руководитель отдела по работе с корпоративными клиентами Компании «КонсультантплюсНагоев» Руслан Дзагоев, директор Кабардино-Балкарского филиала Российского общества «Знание» Андзор Дикинов.
</t>
  </si>
  <si>
    <t>Торжественное вручение дипломов студентам Института права, экономики и финансов</t>
  </si>
  <si>
    <t>Институт права, экономики и финансов КБГУ</t>
  </si>
  <si>
    <t>Торжественное вручение дипломов выпускникам института права, экономики и финансов Кабардино-Балкарского государственного университета им. Х.М. Бербекова
С успешным завершением обучения выпускников поздравили: проректор КБГУ по общим вопросам Мурат Гукепшоков, заместитель председателя Парламента КБР Мурат Карданов, руководитель управления Федеральной антимонопольной службы по КБР Анна Кумахова, начальник экономического отдела Отделения Национального Банка по КБР Южного главного управления Центрального Банка РФ Вячеслав Чеченов, судья Пятого кассационного суда общей юрисдикции Альберт Бецуков, заместитель министра экономического развития КБР, руководитель департамента развития малого и среднего предпринимательства и конкуренции Ольга Белецкая.</t>
  </si>
  <si>
    <t>Торжественное вручение дипломов выпускникам социально-гуманитарного института Кабардино-Балкарского государственного университета им. Х.М. Бербекова
С успешным завершением обучения выпускников поздравили: проректор КБГУ по общим вопросам Мурат Гукепшоков, министр просвещения и науки КБР Анзор Езаов, депутат Парламента КБР от Кабардино-Балкарского регионального отделения политической партии «Коммунистическая партия Российской Федерации» Залим Коческов, заместитель министра труда и социальной защиты КБР Анатолий Шетов, заместитель министра по делам молодёжи КБР Артур Ахметов, директор центра непрерывного повышения профессионального мастерства педагогических работников Минпросвещения Артур Кажаров, начальник управления по работе с абитуриентами КБГУ Альбина Виндижева, начальник управления развития карьеры КБГУ, лектор общества «Знание» Ратмир Коцев.</t>
  </si>
  <si>
    <t>Социально-гуманитарный институт</t>
  </si>
  <si>
    <t>Торжественное вручение дипломов студентам социально-гуманитарного института</t>
  </si>
  <si>
    <t>г. Москва, Национальный центр "Россия"</t>
  </si>
  <si>
    <t>Региональный форум "Интеллектуальная собственность: основа инновационно-креативной экономики. Кабардино-Балкарская Республика 2025"</t>
  </si>
  <si>
    <t>В Кабардино-Балкарском государственном университете им. Х.М. Бербекова состоялся региональный форум Российского центра оборота прав на результаты творческой деятельности (РЦИС) «Интеллектуальная собственность: основа инновационно-креативной экономики», посвященный вопросам обеспечения креативных отраслей и технологических компаний необходимыми инструментами для эффективной охраны, защиты и монетизации интеллектуальной собственности в условиях современной цифровой эпохи.
РЦИС и Кабардино-Балкарская Республика заключили соглашение о сотрудничестве, в рамках которого планируется цифровизация сферы интеллектуальной собственности на уровне региона с предоставлением КБР доступа к цифровым сервисам, таким как депонирование, биржа интеллектуальных прав и конструктор франшиз. А при наличии надежных механизмов защиты интеллектуальных прав предприятия смогут использовать свои разработки, патенты и авторские права в качестве привлекательного экономического актива,
— первый заместитель Председателя Правительства КБР Сергей Говоров.</t>
  </si>
  <si>
    <t>Всероссийский студенческий выпускной «Твой выпускной»</t>
  </si>
  <si>
    <t>Активист управления карьеры КБГУ Алеся Шогенова и выпускницы нашего университета Диана Лигидова и Диана Джуртубаева представили университет в Национальном центре «Россия» на масштабном событии – Всероссийском студенческом выпускном «Твой выпускной»!
Шестьсот участников из разных регионов страны собрались вместе, чтобы подвести итоги важнейшего этапа своей жизни — студенчества.
Организаторами выступают: национальный проект «Молодёжь и дети», Минобрнауки РФ, Росмолодёжь, Всероссийский студенческий проект «Твой Ход», общество «Знание», платформа «Россия — страна возможностей» и Национальный центр «Россия».</t>
  </si>
  <si>
    <t>24.07.2025 - 02.08.2025</t>
  </si>
  <si>
    <t>Культурно-творческое, образовательное</t>
  </si>
  <si>
    <t>Полуфинал Всероссийского проекта "Большая перемена 2025"</t>
  </si>
  <si>
    <t>11.09.2025 - 15.09.2025</t>
  </si>
  <si>
    <t>КБР, г.Нальчик</t>
  </si>
  <si>
    <t>ПО Движения Первых</t>
  </si>
  <si>
    <t>В период с 11 по 15 сентября в Кабардино-Балкарской Республике проходил полуфинал Всероссийского проекта «Большая перемена». %00 участников на протяжении нескольких дней проходили образовательные, туристические и конкурсные этапы программы, соревнуясь за право пройти в финал</t>
  </si>
  <si>
    <t>Фестиваль Первых КБГУ</t>
  </si>
  <si>
    <t>На плацу КБГУ прошел долгожданный фестиваль, на котором с приветственной и напутственной  речью выступили проректор КБГУ по МПВР и СВ Назранов Беслан Мухамедович и руководить регионального отделения Движения Первых в КБР Шипшев Аслан Мухамедович
Были награждены благодарностями активисты, которые внесли существенный вклад в развитие первичного отделения Движения Первых в КБГУ 
После свою работу начали интерактивные площадки, где ребята проявили свой креатив, смекалку и чувство юмора</t>
  </si>
  <si>
    <t>Региональный этап Всероссийского проекта "Первый студенческий"</t>
  </si>
  <si>
    <t>КБР, г.Нальчик, пр.Кулиева, д.12</t>
  </si>
  <si>
    <t>В Доме молодежи прошел региональный этап Всероссийского проекта "Первый сткденческий", на котром студенты КБГУ одержали победу и получили возможность представлять регион на Всероссийском финале.</t>
  </si>
  <si>
    <t>Международная историческая школа</t>
  </si>
  <si>
    <t>Международный</t>
  </si>
  <si>
    <t>Фотовыставка "Хроники террора"</t>
  </si>
  <si>
    <t>В Доме молодежи прошло открытие фотовыставки "Хроники террора украинского неонацистского режима", в которой приняли участие активисты первичного отделения Движения Первых КБГУ</t>
  </si>
  <si>
    <t>Всероссийский проект "Профессиональная команда Первых"</t>
  </si>
  <si>
    <t>Ствропольский край, г. Ставрополь</t>
  </si>
  <si>
    <t>Всероссийский финал проекта "Первый студенческий"</t>
  </si>
  <si>
    <t>17.11.2025 - 19.11.2025</t>
  </si>
  <si>
    <t>г.Москва</t>
  </si>
  <si>
    <t>Школа актива Первых КБГУ</t>
  </si>
  <si>
    <t>11.12.2025 - 15.12.2025</t>
  </si>
  <si>
    <t>Форум "Лидер 2.0"</t>
  </si>
  <si>
    <t>24.12.2026-26.12.2025</t>
  </si>
  <si>
    <t>На базе ЭУНК КБГУ прошел форум для активистов первичного отделения Движения Первых КБГУ
В ходе программы участники  успели проявить себя в различных творческих направлениях, принять участие в "Классной встрече", а так же ближе познакомиться с деятельностью Движения</t>
  </si>
  <si>
    <t>В период с 17 по 20 ноября активисты первичного отделения Движения Первых КБГУ приняли участие во Всероссийском финале проекта «Первый студенческий». 
Инициатива нашей команды была высоко оценена экспертами и будет реализована в следующем году.</t>
  </si>
  <si>
    <t xml:space="preserve">С 7 по 9 ноября в Ставрополе прошел окружной форум, в котором приняли участие представители вузов и колледжей, кураторов первичных отделений Движения Первых, в том числе руководитель первичного отделения Движения Первых КБГУ, а так же наши активисты </t>
  </si>
  <si>
    <t>Розыгрыш мерча ко Дню основания КБГУ</t>
  </si>
  <si>
    <t>КБГУ, ул. Чернышевского 173</t>
  </si>
  <si>
    <t>Розыгрыш мерча от различных студенческих организаций КБГУ ко дню основания ВУЗа.</t>
  </si>
  <si>
    <t>студенческие дебаты "Дебаттл"</t>
  </si>
  <si>
    <t>Студенческие дебаты — это форма дискуссии, в которой участники выступают с аргументами в поддержку или против определённой позиции, основываясь на предоставленных материалах, источниках и действующем законодательстве. Цель дебатов — научить студентов анализировать информацию, формулировать и отстаивать свою точку зрения, а также слушать и понимать аргументы оппонентов.</t>
  </si>
  <si>
    <t>Квест-игра "Тропа Первака" 2025</t>
  </si>
  <si>
    <t xml:space="preserve">студенческое самоуправление </t>
  </si>
  <si>
    <t>Тропа Первака - это квест-игра, созданная для ознакомления первокурсников с территорией и представителями общественных и студенческих организаций нашего ВУЗа. Победители и призеры получают ценный призы, ну, а все остальные - ценные знания.</t>
  </si>
  <si>
    <t>финал всероссийского конкурса "Студенческий лидер"</t>
  </si>
  <si>
    <t>студенческое самоуправление</t>
  </si>
  <si>
    <t>Санкт-Петербург, отель «Азимут» по адресу Лермонтовский проспект, 43/1.</t>
  </si>
  <si>
    <t>Всероссийский конкурс «Студенческий лидер» — главное мероприятие для первичных профсоюзных организаций студентов со всей страны от СКС Профсоюза 85 субъектов Объединяем более 26 500 лидеров ежегодно. Более 1 500 человек подключаются к очному финалу 4 этапа Сопровождаем на каждом этапе: университетском, региональном, окружном и всероссийском 1 победитель Определяем лучших. В этом году конкурс объединил 412 участников из 8 федеральных округов! Представители Студпрофкома КБГУ приняли участие в образовательной программе конкурса, а так же вошли в состав фокус-группы конкурсного испытания «Мастер-класс».</t>
  </si>
  <si>
    <t>Знакомства с Интерклубом</t>
  </si>
  <si>
    <t>культурно-творческое</t>
  </si>
  <si>
    <t xml:space="preserve">Клуб Интернациональной культуры </t>
  </si>
  <si>
    <t xml:space="preserve">Знакомство с ИнтерКлубом - уже традиционное мероприятие для принятия в состав клуба новых заинтересованных людей. И мы спешим показать, как оно прошло в этот раз! Комфортная атмосфера, увлекательные вопросы, музыка со всех уголков света, танцы, дружеские шутки, улыбки, громкий смех и интересные игры - всё это ждало участников нашего мероприятия </t>
  </si>
  <si>
    <t>Эпичные схватки боевых магов: Крутагидон</t>
  </si>
  <si>
    <t>Клуб настольных игр КУБ</t>
  </si>
  <si>
    <t xml:space="preserve">Клуб организовал и провел «Эпичные схватки боевых магов: Крутагидон» — самостоятельная колодостроительная настольная игра из одноимённой серии </t>
  </si>
  <si>
    <t>Игра "Мафия"</t>
  </si>
  <si>
    <t xml:space="preserve">Клуб настольных игр организовал и провел игру в Мафию </t>
  </si>
  <si>
    <t xml:space="preserve">Большая монополия </t>
  </si>
  <si>
    <t xml:space="preserve">Клуб провел БОЛЬШУЮ МОНОПОЛИЮ по мотивам КБГУ среди институтов вуза. </t>
  </si>
  <si>
    <t xml:space="preserve">Настольная игра "Ночь ниндзя" </t>
  </si>
  <si>
    <t>Клубом настольных игр была организована и проведена игра "Ночь ниндзя"</t>
  </si>
  <si>
    <t>Детективная игра «Нуар»</t>
  </si>
  <si>
    <t xml:space="preserve">Была проведена детективная игра "Нуар" на развитие дедуктивных способностей </t>
  </si>
  <si>
    <t>Настольная игра "Забытые боги"</t>
  </si>
  <si>
    <t xml:space="preserve">Была организована и проведена Настольная игра "Забытые боги" по мотивам мифологии </t>
  </si>
  <si>
    <t xml:space="preserve">Турнир по шахматам </t>
  </si>
  <si>
    <t>Был проведён шахматный турнир среди студентов ВУЗа</t>
  </si>
  <si>
    <t>просмотр 1 серии 5 сезона Очень странных дел!</t>
  </si>
  <si>
    <t>киноклуб</t>
  </si>
  <si>
    <t>Киноконцертный зал, студенты КБГУ, просмотр 1 серии 5 сезона Очень странных дел</t>
  </si>
  <si>
    <t>просмотр-обсуждение "Общества мертвых поэтов"</t>
  </si>
  <si>
    <t>Киноклуб</t>
  </si>
  <si>
    <t>Темиркановский зал, студенты КБГУ, просмотр-обсуждение "Общества мертвых поэтов"📚 Обсуждение будет проходить в "Атмосфере"</t>
  </si>
  <si>
    <t>просмотр "Скотт Пилигрим против всех"</t>
  </si>
  <si>
    <t>Темиркановский зал, Студенты КБГУ, просмотр Скотт Пилигрим против всех", после просмотра будет обсуждение различных тем, связанных с фильмом</t>
  </si>
  <si>
    <t>Игра "Dungeons and dragons"</t>
  </si>
  <si>
    <t>Мстительный колдун преследует жителей даже в новой деревне. Что ему нужно? Кому он мстит? Староста просит вас, героев, помочь избавиться от него как можно быстрей</t>
  </si>
  <si>
    <t>просмотр аниме «Человек-бензопила: История Резе»</t>
  </si>
  <si>
    <t>клуб азиатской культуры "Нить"</t>
  </si>
  <si>
    <t xml:space="preserve">Караоке-конкурс </t>
  </si>
  <si>
    <t>Темиркановский зал, студенты КБГУ, караоке-конкурс в дуэтах.</t>
  </si>
  <si>
    <t>просмотр "случайного фильма"</t>
  </si>
  <si>
    <t>Темиркановский зал, студенты КБГУ, просмотр случайного мультфильма</t>
  </si>
  <si>
    <t>Просмотр "Как приручить дракона"</t>
  </si>
  <si>
    <t>темиркановский зал, студенты КБГУ, Члены киноклуба, совместный просмотр с руководителем студенческой психологической службой Исламом Шокуевым (https://t.me/islam_shokuev_psy) вместе с ребятами посмотрели и обсудили "Как приручить дракона"</t>
  </si>
  <si>
    <t>Отражение</t>
  </si>
  <si>
    <t xml:space="preserve">Тебе предстоит повторять движения за видео‑инструкциями — от плавных аниме‑жестов до резких K-POP движений. Главное — точность, экспрессия и свой неповторимый стиль! Что тебя ждёт: 💔динамичные раунды с разными уровнями сложности; 🤎атмосфера праздника и творческого драйва; 💔возможность проявить харизму и чувство ритма; 🤎призы для самых артистичных и точных участников! </t>
  </si>
  <si>
    <t xml:space="preserve">«Эмоциональный интеллект» </t>
  </si>
  <si>
    <t xml:space="preserve">провели интеллектуально-развивающую игру «Эмоциональный интеллект» </t>
  </si>
  <si>
    <t>Просмотр и обсуждение дорамы</t>
  </si>
  <si>
    <t>Встреча представителей Корпусов общественных наблюдателей Кабардино-Балкарии и Карачаево-Черкесии</t>
  </si>
  <si>
    <t xml:space="preserve">межрегиональный </t>
  </si>
  <si>
    <t>профессионально-трудовое</t>
  </si>
  <si>
    <t>Карачаево-Черкесский государственный университет им. У.Д. Алиева</t>
  </si>
  <si>
    <t>Клуб общественных наблюдателей</t>
  </si>
  <si>
    <t>Карачаево-Черкесский государственный университет им. У.Д. Алиева, Представители Корпусов общественных наблюдателей Кабардино-Балкарии и Карачаево-Черкесии, встреча в рамках информационно-просветительской итоговой научной конференции с панельной дискуссией по сохранению исторической памяти народов Северо-Кавказского федерального округа.</t>
  </si>
  <si>
    <t>Квартирник</t>
  </si>
  <si>
    <t>Музыкальный клуб "Минор", Киноклуб, Фотоклуб</t>
  </si>
  <si>
    <t>Квартирник — это про атмосферу, про вайб, про хорошее настроение. Это площадка для выступления творческих студентов университета.</t>
  </si>
  <si>
    <t>Настольная игра "Ярость Дракулы"</t>
  </si>
  <si>
    <t xml:space="preserve">Турнир игры по шахматам </t>
  </si>
  <si>
    <t>Собрание клуба</t>
  </si>
  <si>
    <t>Актовый зал МК</t>
  </si>
  <si>
    <t>Музыкальный клуб "Минор"</t>
  </si>
  <si>
    <t>Легенды Кавказа</t>
  </si>
  <si>
    <t>Молодежный центр КБР, пр. Кулиева, д. 12</t>
  </si>
  <si>
    <t>Молодежный центр КБР, пр. Кулиева, д. 12, участник, зарегистрировавшиеся на этот турнир (Студенты КБГУ, в основном), провдение турнира по настольной игре "Легенды Кавказа"</t>
  </si>
  <si>
    <t xml:space="preserve">Настольная игра "Эмоциональный интеллект" </t>
  </si>
  <si>
    <t>Проект «Эко-Школа»!</t>
  </si>
  <si>
    <t>экологическое</t>
  </si>
  <si>
    <t>МКОУ «СОШ №16» в с. Хасанья</t>
  </si>
  <si>
    <t>ТЭО "Зеленый дозор"</t>
  </si>
  <si>
    <t>Пилотной площадкой и флагманом проекта стала МКОУ «СОШ №16» в с. Хасанья. Именно с этой школы начнутся большие экологические изменения во всей Кабардино-Балкарии! Участников поприветствовали: 💬 Татьяна Асыкина - заместитель министра по делам молодёжи КБР 💬 Оксана Кодзокова - и. о. руководителя регионального отделения «Экосистема» А самым ярким и практичным блоком для школьников стали мастер-классы от Аслана Кочетова, председателя ТЭО «Зеленый дозор». Он не просто рассказал, а наглядно показал ребятам, как подарить вещам вторую жизнь: ✳️ Макулатура превращалась в новую бумагу; ✳️ Пластиковые крышечки стали стильными значками; ✳️ Старые баннеры обрели новую жизнь в виде модных аксессуаров.</t>
  </si>
  <si>
    <t>День волонтера</t>
  </si>
  <si>
    <t>волонтерский центр</t>
  </si>
  <si>
    <t xml:space="preserve">Празднование дня волонтера в Университете с концертной программой подготовленной студентами, и чествованием лучших волонтеров университета с вручением наградной продукции лучшему волонтеру года, а также победителям 7 номинаций. </t>
  </si>
  <si>
    <t>7 чудес</t>
  </si>
  <si>
    <t>Была проведена настольная игра 7 чудес.</t>
  </si>
  <si>
    <t>Проводники смыслов. ДНК России</t>
  </si>
  <si>
    <t>окружной</t>
  </si>
  <si>
    <t>Студенческий центр "Альтаир"</t>
  </si>
  <si>
    <t>волонтерский центр КБГУ</t>
  </si>
  <si>
    <t>КБГУ, ул. Чернышевского 175</t>
  </si>
  <si>
    <t>КБГУ, ул. Чернышевского 176</t>
  </si>
  <si>
    <t>КБГУ, ул. Чернышевского 177</t>
  </si>
  <si>
    <t>КБГУ, ул. Чернышевского 178</t>
  </si>
  <si>
    <t>КБГУ, ул. Чернышевского 179</t>
  </si>
  <si>
    <t>КБГУ, ул. Чернышевского 180</t>
  </si>
  <si>
    <t>КБГУ, ул. Чернышевского 181</t>
  </si>
  <si>
    <t>Форум объединил 300 преподавателей из вузов Кабардино-Балкарской Республики и ведущих университетов Северо-Кавказского федерального округа. В центре внимания программы — передача молодому поколению цивилизационного кода России, укрепление гражданской идентичности и усиление роли вузов в решении государственных задач в сфере воспитания.</t>
  </si>
  <si>
    <t>"Как перестать выбирать абьюзеров?"</t>
  </si>
  <si>
    <t>Психологический клуб «Harmos»</t>
  </si>
  <si>
    <t>Темиркановский зал, студенты КБГУ, Члены психологического клуба "Harmos", обсуждение тем, связанных с выбором партнёров, распознавания токсичные отношения и не только.</t>
  </si>
  <si>
    <t>Всероссийский фестиваль студенческого спорта «Универфест»</t>
  </si>
  <si>
    <t>Чеченская Республика</t>
  </si>
  <si>
    <t>спортивный клуб «PROспорт»</t>
  </si>
  <si>
    <t>Это масштабное спортивное событие федерального уровня, которое объединило более 400 участников из 12 регионов Российской Федерации. Одно из самых масштабных и зрелищных мероприятий студенческой спортивной жизни этого года, объединив энергию молодежи, дух соперничества и атмосферу большого праздника. Организаторами фестиваля выступают Министерство спорта Российской Федерации, Министерство Чеченской Республики по физической культуре и спорту, Чеченский государственный университет им. А. А. Кадырова и Российский студенческий спортивный союз при поддержке ГГНТУ им. акад. М.Д. Миллионщикова.</t>
  </si>
  <si>
    <t>всероссийский</t>
  </si>
  <si>
    <t>Лицом к страху</t>
  </si>
  <si>
    <t>Темиркановский зал, студенты КБГУ, Члены психологического клуба "Harmos", разбирали, что такое страх, пробовали себя в весёлых заданиях и узнавали, как превратить тревогу в уверенность</t>
  </si>
  <si>
    <t xml:space="preserve">«Catan: Колонизаторы» </t>
  </si>
  <si>
    <t>Была проведена настольная игра «Catan: Колонизаторы». Игра нацелена на развитие стратегических навыков</t>
  </si>
  <si>
    <t>Соревнования по армреслингу</t>
  </si>
  <si>
    <t>Спортивный клуб «PROспорт»</t>
  </si>
  <si>
    <t>мероприятие, в котором каждый желающий мог попробовать свои силы в армрестлинге</t>
  </si>
  <si>
    <t>Кораблекрушение</t>
  </si>
  <si>
    <t>Темиркановский зал, Студенты КБГУ, Члены психологического клуба "Harmos", учились работать в команде, проявлять лидерские качества в условиях неопределенности</t>
  </si>
  <si>
    <t>Лекция - игра</t>
  </si>
  <si>
    <t>Темиркановский зал, Студенты КБГУ, Члены психологического клуба "Harmos", лекция о психологии, участие в интерактивных заданиях и играх</t>
  </si>
  <si>
    <t>Посвят первокурсников ИЭРиИИ</t>
  </si>
  <si>
    <t>ДМД</t>
  </si>
  <si>
    <t xml:space="preserve">Дмд помогало в организации и проведении посвящения в первокурсники </t>
  </si>
  <si>
    <t>Перезагрузка</t>
  </si>
  <si>
    <t>Темиркановский зал, Студенты КБГУ, Члены психологического клуба "Harmos", Обсуждение самопринятия самопринятии — мы его создадим! На встрече вы: ✈️Узнаете триггеры своего Внутреннего Критика. ✈️Ощутите силу и принятие в кругу единомышленников. ✈️Перезагрузите своё мышление</t>
  </si>
  <si>
    <t>КБГУ, ул. Чернышевского 182</t>
  </si>
  <si>
    <t>КБГУ, ул. Чернышевского 183</t>
  </si>
  <si>
    <t>КБГУ, ул. Чернышевского 184</t>
  </si>
  <si>
    <t>КБГУ, ул. Чернышевского 185</t>
  </si>
  <si>
    <t>КБГУ, ул. Чернышевского 187</t>
  </si>
  <si>
    <t>КБГУ, ул. Чернышевского 188</t>
  </si>
  <si>
    <t>КБГУ, ул. Чернышевского 189</t>
  </si>
  <si>
    <t>КБГУ, ул. Чернышевского 190</t>
  </si>
  <si>
    <t>КБГУ, ул. Чернышевского 191</t>
  </si>
  <si>
    <t>КБГУ, ул. Чернышевского 192</t>
  </si>
  <si>
    <t>КБГУ, ул. Чернышевского 193</t>
  </si>
  <si>
    <t>КБГУ, ул. Чернышевского 194</t>
  </si>
  <si>
    <t>1+1</t>
  </si>
  <si>
    <t>Студенческий центр "Альтаир", студенты КБГУ, Члены психологического клуба "Harmos", участники прошли через ряд увлекательных заданий и интерактивных игр, которые позволили им глубже узнать друг друга и понять, насколько крепки их отношения. Каждое задание стало настоящим испытанием на доверие и взаимопонимание.</t>
  </si>
  <si>
    <t xml:space="preserve">СтудСток </t>
  </si>
  <si>
    <t xml:space="preserve">Центр поддержки студенческих объединений, молодежных программ </t>
  </si>
  <si>
    <t>На плацу КБГУ собрались все представители студенческих объединений и клубов, чтобы продемонстрировать свои достижения, поделиться идеями и получить заряд хорошего настроения. Участников ждала насыщенная программа: концерт, тематические мастер-классы, выставки, игры и танцы. Также все желающие смогли отведать сладкую вату и горячую кукурузу.</t>
  </si>
  <si>
    <t>Просмотр и обсуждение экранизации Роальда Даля "Чарли и шоколадная фабрика"</t>
  </si>
  <si>
    <t>Литературный клуб</t>
  </si>
  <si>
    <t>Зал им. Х.С. Темирканова. Члены киноклуба, литературного клуба, обсуждение, просмотр.</t>
  </si>
  <si>
    <t xml:space="preserve">Фотосессия </t>
  </si>
  <si>
    <t>Городской парк в г. Нальчик</t>
  </si>
  <si>
    <t>Фотоклуб "FOX"</t>
  </si>
  <si>
    <t>Караоке-конкурс</t>
  </si>
  <si>
    <t>Был проведён караоке-конкур среди студентов КБГУ</t>
  </si>
  <si>
    <t xml:space="preserve">Тематическая фотосессия </t>
  </si>
  <si>
    <t xml:space="preserve">Была проведена тематическая фотосессия для студентов ВУЗа. </t>
  </si>
  <si>
    <t xml:space="preserve">Тур в Приэльбрусье </t>
  </si>
  <si>
    <t>физическое</t>
  </si>
  <si>
    <t>Туристический клуб "Papaha trevel"</t>
  </si>
  <si>
    <t>Тур в Куратинское ущелье</t>
  </si>
  <si>
    <t>региональный</t>
  </si>
  <si>
    <t>РСО - Алания, Куратинское ущелье</t>
  </si>
  <si>
    <t xml:space="preserve">Национальный парк Приэльбрусье </t>
  </si>
  <si>
    <t xml:space="preserve">Тур в Чечню </t>
  </si>
  <si>
    <t>межрегиональный</t>
  </si>
  <si>
    <t xml:space="preserve">р. Чеченя </t>
  </si>
  <si>
    <t>Был организован тур по Чечне (Грозый-Аргун-Шали)</t>
  </si>
  <si>
    <t xml:space="preserve">Был организован выезд в Приэльбрусье для студентов с развлекательной программой </t>
  </si>
  <si>
    <t>Поездка в Безенги</t>
  </si>
  <si>
    <t>Верхняя балкария, Безенги</t>
  </si>
  <si>
    <t>Был организован маршрут по достопримечательнастям: крепость Жабо-Къала, языку Тролля, Голубые озера</t>
  </si>
  <si>
    <t xml:space="preserve">Тур в Дигорию </t>
  </si>
  <si>
    <t>Северная Осетия, Дигория</t>
  </si>
  <si>
    <t xml:space="preserve">Для студентов было организовано путешествие по Дигории, студенты отправились к каньону Асхина </t>
  </si>
  <si>
    <t>Поездка в Куртатинское ущелье</t>
  </si>
  <si>
    <t>Республика Северная Осетия — Алания, Алагирский район, п. Верхний Фиагдон</t>
  </si>
  <si>
    <t>Посетили Дзигвийскую крепость, башню Курта и Тага, древние усыпальницы и в заключении заброшенный город Цимити</t>
  </si>
  <si>
    <t>Поход к Девичьим косам</t>
  </si>
  <si>
    <t>Кабардино-Балкария, пос. Терскол</t>
  </si>
  <si>
    <t>Был организован и проведён поход достаточно легкий и подходящий для начинающих путешественников</t>
  </si>
  <si>
    <t>Выборы председателя модного клуба Savoír</t>
  </si>
  <si>
    <t xml:space="preserve">Центр поддержки студенческих объединений, молодежных программ и проектов </t>
  </si>
  <si>
    <t>Были проведены выборы председателя клуба. Председателем стал Каров Мурат Тимурович студент 2 курса института педагогики, психологии и физкультурно-спортивного образования.</t>
  </si>
  <si>
    <t>Сопротивление</t>
  </si>
  <si>
    <t>«Сопротивление (Resistance)» - это психологическая игра с элементами блефа, дедукции и большого количества переговоров</t>
  </si>
  <si>
    <t>Мафия</t>
  </si>
  <si>
    <t>«Мафия» — клубная командная психологическая пошаговая ролевая игра с детективным сюжетом</t>
  </si>
  <si>
    <t xml:space="preserve">Древний ужас </t>
  </si>
  <si>
    <t xml:space="preserve">«Древний Ужас» — настольная игра по мотивам мифов Г. Ф. Лавкрафта, вдохновлённая игрой «Ужас Аркхэма». </t>
  </si>
  <si>
    <t>Таверна «Красный дракон»</t>
  </si>
  <si>
    <t>«Таверна „Красный дракон“» — карточная настольная игра для 2–4 игроков в сеттинге классического фэнтези</t>
  </si>
  <si>
    <t xml:space="preserve">Бэнг! Меч самурая </t>
  </si>
  <si>
    <t>«Бэнг! Меч Самурая» — самостоятельная настольная игра из серии «Бэнг!», действие которой происходит в новой локации — Стране восходящего солнца Японии.</t>
  </si>
  <si>
    <t>"Древний Ужас" – это уникальная, захватывающая настольная игра в жанре приключений</t>
  </si>
  <si>
    <t>title</t>
  </si>
  <si>
    <t>id</t>
  </si>
  <si>
    <t>types</t>
  </si>
  <si>
    <t>level</t>
  </si>
  <si>
    <t>format</t>
  </si>
  <si>
    <t>date</t>
  </si>
  <si>
    <t>location</t>
  </si>
  <si>
    <t>participantsOther</t>
  </si>
  <si>
    <t>participantsSpo</t>
  </si>
  <si>
    <t>participantsVo</t>
  </si>
  <si>
    <t>participantsForeign</t>
  </si>
  <si>
    <t>participantsTotal</t>
  </si>
  <si>
    <t>organizationRole</t>
  </si>
  <si>
    <t>organizations</t>
  </si>
  <si>
    <t>description</t>
  </si>
  <si>
    <t xml:space="preserve">Вузовский </t>
  </si>
  <si>
    <t>Вузовский</t>
  </si>
  <si>
    <t xml:space="preserve">Был организован и проведён Вузовский шахматный турнир </t>
  </si>
  <si>
    <t>Команда дружины оказала содействие в Организация мероприятия.</t>
  </si>
  <si>
    <t>24.04.2025-30.04.2025</t>
  </si>
  <si>
    <t>17.07.2025 - 19.07.2025</t>
  </si>
  <si>
    <t>07.11.2025-09.11.2025</t>
  </si>
  <si>
    <t>Клуб настольных игр "КУБ" КБГУ, Киноклуб КБГУ</t>
  </si>
  <si>
    <t>Клуб интернациональной дружбы КБГУ, клуб настольных игр «Куб» КБГУ</t>
  </si>
  <si>
    <t>Клуб настольных игр КБГУ, Фотоклуб КБГУ «FOX»</t>
  </si>
  <si>
    <t>Институт электроники робототехники и искусственного интеллекта  КБГУ</t>
  </si>
</sst>
</file>

<file path=xl/styles.xml><?xml version="1.0" encoding="utf-8"?>
<styleSheet xmlns="http://schemas.openxmlformats.org/spreadsheetml/2006/main" xmlns:mc="http://schemas.openxmlformats.org/markup-compatibility/2006" xmlns:x14ac="http://schemas.microsoft.com/office/spreadsheetml/2009/9/ac" mc:Ignorable="x14ac">
  <fonts count="77"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b/>
      <sz val="9"/>
      <color theme="1"/>
      <name val="Times New Roman"/>
      <family val="1"/>
      <charset val="204"/>
    </font>
    <font>
      <sz val="9"/>
      <color theme="1"/>
      <name val="Times New Roman"/>
      <family val="1"/>
      <charset val="204"/>
    </font>
    <font>
      <u/>
      <sz val="11"/>
      <color theme="10"/>
      <name val="Calibri"/>
      <family val="2"/>
      <scheme val="minor"/>
    </font>
    <font>
      <sz val="9"/>
      <name val="Times New Roman"/>
      <family val="1"/>
      <charset val="204"/>
    </font>
    <font>
      <u/>
      <sz val="11"/>
      <color theme="10"/>
      <name val="Calibri"/>
      <family val="2"/>
      <charset val="204"/>
    </font>
    <font>
      <sz val="11"/>
      <name val="Calibri"/>
      <family val="2"/>
      <charset val="204"/>
    </font>
    <font>
      <sz val="11"/>
      <color rgb="FF000000"/>
      <name val="Calibri"/>
      <family val="2"/>
      <charset val="204"/>
    </font>
    <font>
      <sz val="11"/>
      <color theme="1"/>
      <name val="Calibri"/>
      <family val="2"/>
      <charset val="204"/>
      <scheme val="minor"/>
    </font>
    <font>
      <sz val="11"/>
      <name val="Calibri"/>
      <family val="2"/>
      <charset val="204"/>
    </font>
    <font>
      <sz val="11"/>
      <color rgb="FF000000"/>
      <name val="Calibri"/>
      <family val="2"/>
      <charset val="204"/>
    </font>
    <font>
      <u/>
      <sz val="11"/>
      <color theme="10"/>
      <name val="Calibri"/>
      <family val="2"/>
      <charset val="204"/>
      <scheme val="minor"/>
    </font>
    <font>
      <sz val="11"/>
      <color theme="1"/>
      <name val="Calibri"/>
      <family val="2"/>
      <charset val="204"/>
      <scheme val="minor"/>
    </font>
    <font>
      <u/>
      <sz val="11"/>
      <color theme="10"/>
      <name val="Calibri"/>
      <family val="2"/>
      <charset val="204"/>
      <scheme val="minor"/>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color indexed="8"/>
      <name val="Calibri"/>
      <family val="2"/>
      <charset val="204"/>
    </font>
    <font>
      <u/>
      <sz val="8.8000000000000007"/>
      <color theme="10"/>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1"/>
      <name val="Calibri"/>
      <family val="2"/>
      <charset val="204"/>
    </font>
    <font>
      <sz val="11"/>
      <color rgb="FF000000"/>
      <name val="Calibri"/>
      <family val="2"/>
      <charset val="204"/>
    </font>
    <font>
      <u/>
      <sz val="11"/>
      <color theme="10"/>
      <name val="Calibri"/>
      <family val="2"/>
      <charset val="204"/>
    </font>
    <font>
      <sz val="11"/>
      <color theme="1"/>
      <name val="Calibri"/>
      <family val="2"/>
      <charset val="204"/>
      <scheme val="minor"/>
    </font>
    <font>
      <u/>
      <sz val="11"/>
      <color theme="10"/>
      <name val="Calibri"/>
      <family val="2"/>
      <charset val="204"/>
      <scheme val="minor"/>
    </font>
    <font>
      <sz val="11"/>
      <color theme="1"/>
      <name val="Calibri"/>
      <family val="2"/>
      <charset val="204"/>
    </font>
    <font>
      <sz val="11"/>
      <color rgb="FF000000"/>
      <name val="Calibri"/>
      <family val="2"/>
      <charset val="204"/>
      <scheme val="minor"/>
    </font>
    <font>
      <sz val="11"/>
      <name val="Calibri"/>
      <family val="2"/>
      <charset val="204"/>
    </font>
    <font>
      <sz val="11"/>
      <color rgb="FF000000"/>
      <name val="Calibri"/>
      <family val="2"/>
      <charset val="204"/>
    </font>
    <font>
      <u/>
      <sz val="11"/>
      <color rgb="FF0000FF"/>
      <name val="Calibri"/>
      <family val="2"/>
      <charset val="204"/>
    </font>
    <font>
      <u/>
      <sz val="11"/>
      <color rgb="FF0000FF"/>
      <name val="Calibri"/>
      <family val="2"/>
      <charset val="204"/>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9"/>
      <color rgb="FFFF0000"/>
      <name val="Times New Roman"/>
      <family val="1"/>
      <charset val="204"/>
    </font>
    <font>
      <sz val="11"/>
      <color indexed="64"/>
      <name val="Calibri"/>
      <family val="2"/>
      <charset val="204"/>
    </font>
    <font>
      <u/>
      <sz val="11"/>
      <color indexed="4"/>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1"/>
      <color theme="1"/>
      <name val="Calibri"/>
      <family val="2"/>
      <charset val="204"/>
      <scheme val="minor"/>
    </font>
    <font>
      <sz val="11"/>
      <color indexed="8"/>
      <name val="Calibri"/>
      <family val="2"/>
      <charset val="204"/>
    </font>
    <font>
      <u/>
      <sz val="11"/>
      <color theme="10"/>
      <name val="Calibri"/>
      <family val="2"/>
      <charset val="204"/>
    </font>
    <font>
      <sz val="11"/>
      <color rgb="FF000000"/>
      <name val="Calibri"/>
      <family val="2"/>
      <charset val="204"/>
      <scheme val="minor"/>
    </font>
    <font>
      <sz val="11"/>
      <name val="Calibri"/>
      <family val="2"/>
      <charset val="204"/>
    </font>
    <font>
      <sz val="11"/>
      <name val="Arial"/>
      <family val="2"/>
      <charset val="204"/>
    </font>
    <font>
      <sz val="11"/>
      <color rgb="FF000000"/>
      <name val="Calibri"/>
      <family val="2"/>
      <charset val="204"/>
    </font>
    <font>
      <sz val="11"/>
      <color rgb="FF000000"/>
      <name val="Calibri"/>
      <family val="2"/>
      <charset val="204"/>
      <scheme val="minor"/>
    </font>
    <font>
      <sz val="11"/>
      <name val="Calibri"/>
      <family val="2"/>
      <charset val="204"/>
    </font>
    <font>
      <u/>
      <sz val="11"/>
      <color theme="10"/>
      <name val="Calibri"/>
      <family val="2"/>
      <charset val="204"/>
    </font>
    <font>
      <sz val="9"/>
      <color theme="1"/>
      <name val="Times New Roman"/>
      <family val="1"/>
      <charset val="204"/>
    </font>
    <font>
      <u/>
      <sz val="7.7"/>
      <color theme="10"/>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sz val="11"/>
      <color rgb="FF000000"/>
      <name val="Calibri"/>
      <family val="2"/>
      <charset val="204"/>
      <scheme val="minor"/>
    </font>
    <font>
      <sz val="11"/>
      <color theme="1"/>
      <name val="Calibri"/>
      <scheme val="minor"/>
    </font>
    <font>
      <u/>
      <sz val="11"/>
      <color theme="10"/>
      <name val="Calibri"/>
      <scheme val="minor"/>
    </font>
    <font>
      <sz val="11"/>
      <color rgb="FF000000"/>
      <name val="Calibri"/>
      <scheme val="minor"/>
    </font>
    <font>
      <b/>
      <sz val="11"/>
      <color theme="1"/>
      <name val="Calibri"/>
      <family val="2"/>
      <charset val="204"/>
      <scheme val="minor"/>
    </font>
    <font>
      <sz val="11"/>
      <color theme="1"/>
      <name val="Arial"/>
      <family val="2"/>
      <charset val="204"/>
    </font>
    <font>
      <sz val="11"/>
      <color theme="1"/>
      <name val="Times New Roman"/>
      <family val="1"/>
      <charset val="204"/>
    </font>
    <font>
      <sz val="8"/>
      <name val="Calibri"/>
      <family val="2"/>
      <charset val="204"/>
      <scheme val="minor"/>
    </font>
    <font>
      <sz val="11"/>
      <name val="Times New Roman"/>
      <family val="1"/>
      <charset val="204"/>
    </font>
    <font>
      <b/>
      <sz val="11"/>
      <color theme="1"/>
      <name val="Times New Roman"/>
      <family val="1"/>
      <charset val="204"/>
    </font>
  </fonts>
  <fills count="8">
    <fill>
      <patternFill patternType="none"/>
    </fill>
    <fill>
      <patternFill patternType="gray125"/>
    </fill>
    <fill>
      <patternFill patternType="solid">
        <fgColor rgb="FFC5E0B3"/>
        <bgColor indexed="64"/>
      </patternFill>
    </fill>
    <fill>
      <patternFill patternType="solid">
        <fgColor theme="0"/>
        <bgColor indexed="64"/>
      </patternFill>
    </fill>
    <fill>
      <patternFill patternType="solid">
        <fgColor rgb="FFFFFF00"/>
        <bgColor indexed="64"/>
      </patternFill>
    </fill>
    <fill>
      <patternFill patternType="solid">
        <fgColor theme="0"/>
        <bgColor theme="0"/>
      </patternFill>
    </fill>
    <fill>
      <patternFill patternType="solid">
        <fgColor theme="0"/>
      </patternFill>
    </fill>
    <fill>
      <patternFill patternType="solid">
        <fgColor theme="5"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03">
    <xf numFmtId="0" fontId="0" fillId="0" borderId="0"/>
    <xf numFmtId="0" fontId="2" fillId="0" borderId="0"/>
    <xf numFmtId="0" fontId="5" fillId="0" borderId="0" applyNumberFormat="0" applyFill="0" applyBorder="0" applyAlignment="0" applyProtection="0"/>
    <xf numFmtId="0" fontId="1" fillId="0" borderId="0"/>
    <xf numFmtId="0" fontId="5" fillId="0" borderId="0" applyNumberFormat="0" applyFill="0" applyBorder="0" applyAlignment="0" applyProtection="0"/>
    <xf numFmtId="0" fontId="7" fillId="0" borderId="0" applyNumberFormat="0" applyFill="0" applyBorder="0" applyAlignment="0" applyProtection="0">
      <alignment vertical="top"/>
      <protection locked="0"/>
    </xf>
    <xf numFmtId="0" fontId="8" fillId="0" borderId="0">
      <alignment vertical="center"/>
    </xf>
    <xf numFmtId="0" fontId="9" fillId="0" borderId="0">
      <protection locked="0"/>
    </xf>
    <xf numFmtId="0" fontId="10" fillId="0" borderId="0"/>
    <xf numFmtId="0" fontId="11" fillId="0" borderId="0">
      <alignment vertical="center"/>
    </xf>
    <xf numFmtId="0" fontId="12" fillId="0" borderId="0">
      <protection locked="0"/>
    </xf>
    <xf numFmtId="0" fontId="14" fillId="0" borderId="0"/>
    <xf numFmtId="0" fontId="15" fillId="0" borderId="0" applyNumberFormat="0" applyFill="0" applyBorder="0" applyProtection="0"/>
    <xf numFmtId="0" fontId="14" fillId="0" borderId="0"/>
    <xf numFmtId="0" fontId="14" fillId="0" borderId="0"/>
    <xf numFmtId="0" fontId="13" fillId="0" borderId="0" applyNumberFormat="0" applyFill="0" applyBorder="0" applyProtection="0"/>
    <xf numFmtId="0" fontId="1" fillId="0" borderId="0"/>
    <xf numFmtId="0" fontId="1" fillId="0" borderId="0"/>
    <xf numFmtId="0" fontId="16" fillId="0" borderId="0">
      <alignment vertical="center"/>
    </xf>
    <xf numFmtId="0" fontId="17" fillId="0" borderId="0">
      <protection locked="0"/>
    </xf>
    <xf numFmtId="0" fontId="18" fillId="0" borderId="0"/>
    <xf numFmtId="0" fontId="19" fillId="0" borderId="0" applyNumberFormat="0" applyFill="0" applyBorder="0" applyProtection="0"/>
    <xf numFmtId="0" fontId="18" fillId="0" borderId="0"/>
    <xf numFmtId="0" fontId="18" fillId="0" borderId="0"/>
    <xf numFmtId="0" fontId="20" fillId="0" borderId="0" applyNumberFormat="0" applyFill="0" applyBorder="0" applyProtection="0">
      <alignment vertical="center"/>
    </xf>
    <xf numFmtId="0" fontId="8" fillId="0" borderId="0">
      <alignment vertical="center"/>
    </xf>
    <xf numFmtId="0" fontId="9" fillId="0" borderId="0">
      <protection locked="0"/>
    </xf>
    <xf numFmtId="0" fontId="1" fillId="0" borderId="0"/>
    <xf numFmtId="0" fontId="13" fillId="0" borderId="0" applyNumberFormat="0" applyFill="0" applyBorder="0" applyProtection="0"/>
    <xf numFmtId="0" fontId="1" fillId="0" borderId="0"/>
    <xf numFmtId="0" fontId="1" fillId="0" borderId="0"/>
    <xf numFmtId="0" fontId="21" fillId="0" borderId="0" applyNumberFormat="0" applyFill="0" applyBorder="0" applyAlignment="0" applyProtection="0">
      <alignment vertical="top"/>
      <protection locked="0"/>
    </xf>
    <xf numFmtId="0" fontId="1" fillId="0" borderId="0"/>
    <xf numFmtId="0" fontId="21" fillId="0" borderId="0" applyNumberFormat="0" applyFill="0" applyBorder="0" applyAlignment="0" applyProtection="0">
      <alignment vertical="top"/>
      <protection locked="0"/>
    </xf>
    <xf numFmtId="0" fontId="8" fillId="0" borderId="0">
      <alignment vertical="center"/>
    </xf>
    <xf numFmtId="0" fontId="9" fillId="0" borderId="0">
      <protection locked="0"/>
    </xf>
    <xf numFmtId="0" fontId="1" fillId="0" borderId="0"/>
    <xf numFmtId="0" fontId="13" fillId="0" borderId="0" applyNumberFormat="0" applyFill="0" applyBorder="0" applyProtection="0"/>
    <xf numFmtId="0" fontId="1" fillId="0" borderId="0"/>
    <xf numFmtId="0" fontId="1" fillId="0" borderId="0"/>
    <xf numFmtId="0" fontId="22" fillId="0" borderId="0"/>
    <xf numFmtId="0" fontId="25" fillId="0" borderId="0" applyNumberFormat="0" applyFill="0" applyBorder="0" applyAlignment="0" applyProtection="0"/>
    <xf numFmtId="0" fontId="23" fillId="0" borderId="0"/>
    <xf numFmtId="0" fontId="24" fillId="0" borderId="0" applyNumberFormat="0" applyFill="0" applyBorder="0" applyAlignment="0" applyProtection="0"/>
    <xf numFmtId="0" fontId="22" fillId="0" borderId="0"/>
    <xf numFmtId="0" fontId="26" fillId="0" borderId="0">
      <alignment vertical="center"/>
    </xf>
    <xf numFmtId="0" fontId="27" fillId="0" borderId="0">
      <protection locked="0"/>
    </xf>
    <xf numFmtId="0" fontId="28" fillId="0" borderId="0" applyNumberFormat="0" applyFill="0" applyBorder="0" applyAlignment="0" applyProtection="0">
      <alignment vertical="center"/>
    </xf>
    <xf numFmtId="0" fontId="29" fillId="0" borderId="0"/>
    <xf numFmtId="0" fontId="30" fillId="0" borderId="0" applyNumberFormat="0" applyFill="0" applyBorder="0" applyProtection="0"/>
    <xf numFmtId="0" fontId="29" fillId="0" borderId="0"/>
    <xf numFmtId="0" fontId="29" fillId="0" borderId="0"/>
    <xf numFmtId="0" fontId="28" fillId="0" borderId="0" applyNumberFormat="0" applyFill="0" applyBorder="0" applyAlignment="0" applyProtection="0"/>
    <xf numFmtId="0" fontId="31" fillId="0" borderId="0"/>
    <xf numFmtId="0" fontId="30" fillId="0" borderId="0" applyNumberFormat="0" applyFill="0" applyBorder="0" applyAlignment="0" applyProtection="0"/>
    <xf numFmtId="0" fontId="13" fillId="0" borderId="0" applyNumberFormat="0" applyFill="0" applyBorder="0" applyAlignment="0" applyProtection="0"/>
    <xf numFmtId="0" fontId="32" fillId="0" borderId="0"/>
    <xf numFmtId="0" fontId="33" fillId="0" borderId="0">
      <alignment vertical="center"/>
    </xf>
    <xf numFmtId="0" fontId="34" fillId="0" borderId="0">
      <protection locked="0"/>
    </xf>
    <xf numFmtId="0" fontId="1" fillId="0" borderId="0"/>
    <xf numFmtId="0" fontId="13" fillId="0" borderId="0" applyNumberFormat="0" applyFill="0" applyBorder="0" applyAlignment="0" applyProtection="0"/>
    <xf numFmtId="0" fontId="1" fillId="0" borderId="0"/>
    <xf numFmtId="0" fontId="13" fillId="0" borderId="0" applyNumberFormat="0" applyFill="0" applyBorder="0" applyAlignment="0" applyProtection="0"/>
    <xf numFmtId="0" fontId="1" fillId="0" borderId="0"/>
    <xf numFmtId="0" fontId="8" fillId="0" borderId="0">
      <alignment vertical="center"/>
    </xf>
    <xf numFmtId="0" fontId="9" fillId="0" borderId="0">
      <protection locked="0"/>
    </xf>
    <xf numFmtId="0" fontId="7" fillId="0" borderId="0" applyNumberFormat="0" applyFill="0" applyBorder="0" applyAlignment="0" applyProtection="0">
      <alignment vertical="center"/>
    </xf>
    <xf numFmtId="0" fontId="1" fillId="0" borderId="0"/>
    <xf numFmtId="0" fontId="13" fillId="0" borderId="0" applyNumberFormat="0" applyFill="0" applyBorder="0" applyProtection="0"/>
    <xf numFmtId="0" fontId="1" fillId="0" borderId="0"/>
    <xf numFmtId="0" fontId="1" fillId="0" borderId="0"/>
    <xf numFmtId="0" fontId="7" fillId="0" borderId="0" applyNumberFormat="0" applyFill="0" applyBorder="0" applyAlignment="0" applyProtection="0"/>
    <xf numFmtId="0" fontId="13" fillId="0" borderId="0" applyNumberFormat="0" applyFill="0" applyBorder="0" applyAlignment="0" applyProtection="0"/>
    <xf numFmtId="0" fontId="7" fillId="0" borderId="0" applyNumberFormat="0" applyFill="0" applyBorder="0" applyAlignment="0" applyProtection="0">
      <alignment vertical="center"/>
    </xf>
    <xf numFmtId="0" fontId="8" fillId="0" borderId="0">
      <alignment vertical="center"/>
    </xf>
    <xf numFmtId="0" fontId="9" fillId="0" borderId="0">
      <protection locked="0"/>
    </xf>
    <xf numFmtId="0" fontId="1" fillId="0" borderId="0"/>
    <xf numFmtId="0" fontId="13" fillId="0" borderId="0" applyNumberFormat="0" applyFill="0" applyBorder="0" applyProtection="0"/>
    <xf numFmtId="0" fontId="1" fillId="0" borderId="0"/>
    <xf numFmtId="0" fontId="1" fillId="0" borderId="0"/>
    <xf numFmtId="0" fontId="35" fillId="0" borderId="0">
      <alignment vertical="top"/>
      <protection locked="0"/>
    </xf>
    <xf numFmtId="0" fontId="36" fillId="0" borderId="0">
      <alignment vertical="top"/>
      <protection locked="0"/>
    </xf>
    <xf numFmtId="0" fontId="13" fillId="0" borderId="0" applyNumberFormat="0" applyFill="0" applyBorder="0" applyAlignment="0" applyProtection="0"/>
    <xf numFmtId="0" fontId="38" fillId="0" borderId="0">
      <protection locked="0"/>
    </xf>
    <xf numFmtId="0" fontId="37" fillId="0" borderId="0">
      <alignment vertical="center"/>
    </xf>
    <xf numFmtId="0" fontId="37" fillId="0" borderId="0">
      <alignment vertical="center"/>
    </xf>
    <xf numFmtId="0" fontId="38" fillId="0" borderId="0">
      <protection locked="0"/>
    </xf>
    <xf numFmtId="0" fontId="39" fillId="0" borderId="0"/>
    <xf numFmtId="0" fontId="40" fillId="0" borderId="0" applyNumberFormat="0" applyFill="0" applyBorder="0" applyProtection="0"/>
    <xf numFmtId="0" fontId="39" fillId="0" borderId="0"/>
    <xf numFmtId="0" fontId="39" fillId="0" borderId="0"/>
    <xf numFmtId="0" fontId="41" fillId="0" borderId="0"/>
    <xf numFmtId="0" fontId="44" fillId="0" borderId="0" applyNumberFormat="0" applyFill="0" applyBorder="0" applyAlignment="0" applyProtection="0"/>
    <xf numFmtId="0" fontId="42" fillId="0" borderId="0"/>
    <xf numFmtId="0" fontId="43" fillId="0" borderId="0" applyNumberFormat="0" applyFill="0" applyBorder="0" applyAlignment="0" applyProtection="0"/>
    <xf numFmtId="0" fontId="41" fillId="0" borderId="0"/>
    <xf numFmtId="0" fontId="31" fillId="0" borderId="0">
      <alignment vertical="center"/>
    </xf>
    <xf numFmtId="0" fontId="46" fillId="0" borderId="0">
      <protection locked="0"/>
    </xf>
    <xf numFmtId="0" fontId="47" fillId="0" borderId="0">
      <alignment vertical="top"/>
      <protection locked="0"/>
    </xf>
    <xf numFmtId="0" fontId="2" fillId="0" borderId="0"/>
    <xf numFmtId="0" fontId="5" fillId="0" borderId="0" applyNumberFormat="0" applyFill="0" applyBorder="0" applyAlignment="0" applyProtection="0"/>
    <xf numFmtId="0" fontId="7" fillId="0" borderId="0" applyNumberFormat="0" applyFill="0" applyBorder="0">
      <protection locked="0"/>
    </xf>
    <xf numFmtId="0" fontId="5" fillId="0" borderId="0" applyNumberFormat="0" applyFill="0" applyBorder="0" applyProtection="0"/>
    <xf numFmtId="0" fontId="48" fillId="0" borderId="0"/>
    <xf numFmtId="0" fontId="51" fillId="0" borderId="0" applyNumberFormat="0" applyFill="0" applyBorder="0" applyAlignment="0" applyProtection="0"/>
    <xf numFmtId="0" fontId="49" fillId="0" borderId="0"/>
    <xf numFmtId="0" fontId="50" fillId="0" borderId="0" applyNumberFormat="0" applyFill="0" applyBorder="0" applyAlignment="0" applyProtection="0"/>
    <xf numFmtId="0" fontId="48" fillId="0" borderId="0"/>
    <xf numFmtId="0" fontId="52" fillId="0" borderId="0"/>
    <xf numFmtId="0" fontId="53" fillId="0" borderId="0" applyNumberFormat="0" applyFill="0" applyBorder="0" applyProtection="0">
      <alignment vertical="center"/>
    </xf>
    <xf numFmtId="0" fontId="54" fillId="0" borderId="0" applyNumberFormat="0" applyFill="0" applyBorder="0" applyAlignment="0" applyProtection="0">
      <alignment vertical="top"/>
      <protection locked="0"/>
    </xf>
    <xf numFmtId="0" fontId="35" fillId="0" borderId="0">
      <protection locked="0"/>
    </xf>
    <xf numFmtId="0" fontId="9" fillId="0" borderId="0">
      <alignment vertical="center"/>
    </xf>
    <xf numFmtId="0" fontId="47" fillId="0" borderId="0">
      <protection locked="0"/>
    </xf>
    <xf numFmtId="0" fontId="55" fillId="0" borderId="0"/>
    <xf numFmtId="0" fontId="52" fillId="0" borderId="0"/>
    <xf numFmtId="0" fontId="56" fillId="0" borderId="0">
      <alignment vertical="center"/>
    </xf>
    <xf numFmtId="0" fontId="54" fillId="0" borderId="0" applyNumberFormat="0" applyFill="0" applyBorder="0" applyAlignment="0" applyProtection="0">
      <alignment vertical="center"/>
    </xf>
    <xf numFmtId="0" fontId="57" fillId="0" borderId="0">
      <alignment vertical="center"/>
    </xf>
    <xf numFmtId="0" fontId="7" fillId="0" borderId="0" applyNumberFormat="0" applyFill="0" applyBorder="0" applyAlignment="0" applyProtection="0">
      <alignment vertical="center"/>
    </xf>
    <xf numFmtId="0" fontId="58" fillId="0" borderId="0">
      <alignment vertical="center"/>
    </xf>
    <xf numFmtId="0" fontId="59" fillId="0" borderId="0"/>
    <xf numFmtId="0" fontId="60" fillId="0" borderId="0">
      <alignment vertical="center"/>
    </xf>
    <xf numFmtId="0" fontId="61" fillId="0" borderId="0" applyNumberFormat="0" applyFill="0" applyBorder="0" applyAlignment="0" applyProtection="0">
      <alignment vertical="center"/>
    </xf>
    <xf numFmtId="0" fontId="13" fillId="0" borderId="0" applyNumberFormat="0" applyFill="0" applyBorder="0" applyAlignment="0" applyProtection="0"/>
    <xf numFmtId="0" fontId="1" fillId="0" borderId="0"/>
    <xf numFmtId="0" fontId="8" fillId="0" borderId="0">
      <alignment vertical="center"/>
    </xf>
    <xf numFmtId="0" fontId="9" fillId="0" borderId="0">
      <protection locked="0"/>
    </xf>
    <xf numFmtId="0" fontId="35" fillId="0" borderId="0">
      <alignment vertical="top"/>
      <protection locked="0"/>
    </xf>
    <xf numFmtId="0" fontId="9" fillId="0" borderId="0">
      <protection locked="0"/>
    </xf>
    <xf numFmtId="0" fontId="8" fillId="0" borderId="0">
      <alignment vertical="center"/>
    </xf>
    <xf numFmtId="0" fontId="8" fillId="0" borderId="0">
      <alignment vertical="center"/>
    </xf>
    <xf numFmtId="0" fontId="9" fillId="0" borderId="0">
      <protection locked="0"/>
    </xf>
    <xf numFmtId="0" fontId="1" fillId="0" borderId="0"/>
    <xf numFmtId="0" fontId="13" fillId="0" borderId="0" applyNumberFormat="0" applyFill="0" applyBorder="0" applyProtection="0"/>
    <xf numFmtId="0" fontId="1" fillId="0" borderId="0"/>
    <xf numFmtId="0" fontId="1" fillId="0" borderId="0"/>
    <xf numFmtId="0" fontId="1" fillId="0" borderId="0"/>
    <xf numFmtId="0" fontId="13" fillId="0" borderId="0" applyNumberFormat="0" applyFill="0" applyBorder="0" applyAlignment="0" applyProtection="0"/>
    <xf numFmtId="0" fontId="1" fillId="0" borderId="0"/>
    <xf numFmtId="0" fontId="13" fillId="0" borderId="0" applyNumberFormat="0" applyFill="0" applyBorder="0" applyAlignment="0" applyProtection="0"/>
    <xf numFmtId="0" fontId="1" fillId="0" borderId="0"/>
    <xf numFmtId="0" fontId="1" fillId="0" borderId="0"/>
    <xf numFmtId="0" fontId="13" fillId="0" borderId="0" applyNumberFormat="0" applyFill="0" applyBorder="0" applyAlignment="0" applyProtection="0"/>
    <xf numFmtId="0" fontId="1" fillId="0" borderId="0"/>
    <xf numFmtId="0" fontId="13" fillId="0" borderId="0" applyNumberFormat="0" applyFill="0" applyBorder="0" applyAlignment="0" applyProtection="0"/>
    <xf numFmtId="0" fontId="1" fillId="0" borderId="0"/>
    <xf numFmtId="0" fontId="1" fillId="0" borderId="0"/>
    <xf numFmtId="0" fontId="20" fillId="0" borderId="0" applyNumberFormat="0" applyFill="0" applyBorder="0" applyProtection="0">
      <alignment vertical="center"/>
    </xf>
    <xf numFmtId="0" fontId="7" fillId="0" borderId="0" applyNumberFormat="0" applyFill="0" applyBorder="0" applyAlignment="0" applyProtection="0">
      <alignment vertical="top"/>
      <protection locked="0"/>
    </xf>
    <xf numFmtId="0" fontId="32" fillId="0" borderId="0"/>
    <xf numFmtId="0" fontId="1" fillId="0" borderId="0"/>
    <xf numFmtId="0" fontId="8" fillId="0" borderId="0">
      <alignment vertical="center"/>
    </xf>
    <xf numFmtId="0" fontId="7" fillId="0" borderId="0" applyNumberFormat="0" applyFill="0" applyBorder="0" applyAlignment="0" applyProtection="0">
      <alignment vertical="center"/>
    </xf>
    <xf numFmtId="0" fontId="9" fillId="0" borderId="0">
      <alignment vertical="center"/>
    </xf>
    <xf numFmtId="0" fontId="32" fillId="0" borderId="0"/>
    <xf numFmtId="0" fontId="8" fillId="0" borderId="0">
      <alignment vertical="center"/>
    </xf>
    <xf numFmtId="0" fontId="7" fillId="0" borderId="0" applyNumberFormat="0" applyFill="0" applyBorder="0" applyAlignment="0" applyProtection="0">
      <alignment vertical="center"/>
    </xf>
    <xf numFmtId="0" fontId="63" fillId="0" borderId="0" applyNumberFormat="0" applyFill="0" applyBorder="0" applyAlignment="0" applyProtection="0">
      <alignment vertical="top"/>
      <protection locked="0"/>
    </xf>
    <xf numFmtId="0" fontId="64" fillId="0" borderId="0"/>
    <xf numFmtId="0" fontId="66" fillId="0" borderId="0" applyNumberFormat="0" applyFill="0" applyBorder="0" applyAlignment="0" applyProtection="0"/>
    <xf numFmtId="0" fontId="65" fillId="0" borderId="0"/>
    <xf numFmtId="0" fontId="64" fillId="0" borderId="0"/>
    <xf numFmtId="0" fontId="1" fillId="0" borderId="0"/>
    <xf numFmtId="0" fontId="13" fillId="0" borderId="0" applyNumberFormat="0" applyFill="0" applyBorder="0" applyAlignment="0" applyProtection="0"/>
    <xf numFmtId="0" fontId="6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8" fillId="0" borderId="0"/>
    <xf numFmtId="0" fontId="69" fillId="0" borderId="0" applyNumberFormat="0" applyFill="0" applyBorder="0" applyAlignment="0" applyProtection="0"/>
    <xf numFmtId="0" fontId="70" fillId="0" borderId="0"/>
  </cellStyleXfs>
  <cellXfs count="124">
    <xf numFmtId="0" fontId="0" fillId="0" borderId="0" xfId="0"/>
    <xf numFmtId="0" fontId="3" fillId="2" borderId="1" xfId="1" applyFont="1" applyFill="1" applyBorder="1" applyAlignment="1">
      <alignment horizontal="justify" vertical="center" wrapText="1"/>
    </xf>
    <xf numFmtId="0" fontId="0" fillId="0" borderId="0" xfId="0" applyBorder="1"/>
    <xf numFmtId="0" fontId="1" fillId="0" borderId="0" xfId="0" applyFont="1"/>
    <xf numFmtId="0" fontId="6" fillId="0" borderId="1" xfId="0" applyFont="1" applyBorder="1" applyAlignment="1">
      <alignment horizontal="left" vertical="top" wrapText="1"/>
    </xf>
    <xf numFmtId="0" fontId="6" fillId="3" borderId="3" xfId="0" applyFont="1" applyFill="1" applyBorder="1" applyAlignment="1">
      <alignment horizontal="justify" vertical="top" wrapText="1"/>
    </xf>
    <xf numFmtId="0" fontId="3" fillId="2" borderId="1" xfId="1" applyFont="1" applyFill="1" applyBorder="1" applyAlignment="1">
      <alignment horizontal="justify" vertical="center"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14" fontId="4" fillId="3" borderId="5" xfId="0" applyNumberFormat="1"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0" fillId="0" borderId="0" xfId="0"/>
    <xf numFmtId="0" fontId="4" fillId="3" borderId="5" xfId="0" applyFont="1" applyFill="1" applyBorder="1" applyAlignment="1">
      <alignment horizontal="justify" vertical="top" wrapText="1"/>
    </xf>
    <xf numFmtId="0" fontId="1" fillId="3" borderId="0" xfId="0" applyFont="1" applyFill="1"/>
    <xf numFmtId="14" fontId="4" fillId="0" borderId="6" xfId="0" applyNumberFormat="1" applyFont="1" applyBorder="1" applyAlignment="1">
      <alignment horizontal="justify" vertical="top" wrapText="1"/>
    </xf>
    <xf numFmtId="0" fontId="4" fillId="3" borderId="5" xfId="1" applyFont="1" applyFill="1" applyBorder="1" applyAlignment="1">
      <alignment horizontal="left" vertical="top" wrapText="1"/>
    </xf>
    <xf numFmtId="14" fontId="4" fillId="3" borderId="6" xfId="1" applyNumberFormat="1" applyFont="1" applyFill="1" applyBorder="1" applyAlignment="1">
      <alignment horizontal="left" vertical="top" wrapText="1"/>
    </xf>
    <xf numFmtId="0" fontId="4" fillId="3" borderId="6" xfId="1" applyFont="1" applyFill="1" applyBorder="1" applyAlignment="1">
      <alignment horizontal="left" vertical="top" wrapText="1"/>
    </xf>
    <xf numFmtId="0" fontId="4" fillId="3" borderId="3" xfId="1" applyFont="1" applyFill="1" applyBorder="1" applyAlignment="1">
      <alignment horizontal="left" vertical="top" wrapText="1"/>
    </xf>
    <xf numFmtId="0" fontId="45" fillId="4" borderId="3"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6" fillId="3" borderId="3" xfId="0" applyFont="1" applyFill="1" applyBorder="1" applyAlignment="1">
      <alignment horizontal="justify" vertical="top" wrapText="1"/>
    </xf>
    <xf numFmtId="0" fontId="4" fillId="3" borderId="5" xfId="0" applyFont="1" applyFill="1" applyBorder="1" applyAlignment="1">
      <alignment horizontal="justify" vertical="top" wrapText="1"/>
    </xf>
    <xf numFmtId="0" fontId="1" fillId="3" borderId="0" xfId="0" applyFont="1" applyFill="1"/>
    <xf numFmtId="0" fontId="4" fillId="3" borderId="5" xfId="0" applyFont="1" applyFill="1" applyBorder="1" applyAlignment="1">
      <alignment horizontal="justify" vertical="top" wrapText="1"/>
    </xf>
    <xf numFmtId="14" fontId="4" fillId="0" borderId="5"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6" fillId="3" borderId="3" xfId="0" applyFont="1" applyFill="1" applyBorder="1" applyAlignment="1">
      <alignment horizontal="justify" vertical="top" wrapText="1"/>
    </xf>
    <xf numFmtId="0" fontId="4" fillId="3" borderId="5" xfId="0" applyFont="1" applyFill="1" applyBorder="1" applyAlignment="1">
      <alignment horizontal="justify" vertical="top" wrapText="1"/>
    </xf>
    <xf numFmtId="0" fontId="6" fillId="7" borderId="3" xfId="0" applyFont="1" applyFill="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14" fontId="4" fillId="0" borderId="9" xfId="0" applyNumberFormat="1" applyFont="1" applyBorder="1" applyAlignment="1">
      <alignment horizontal="justify" vertical="top" wrapText="1"/>
    </xf>
    <xf numFmtId="0" fontId="4" fillId="6" borderId="8" xfId="0" applyNumberFormat="1" applyFont="1" applyFill="1" applyBorder="1" applyAlignment="1">
      <alignment horizontal="justify" vertical="top" wrapText="1"/>
    </xf>
    <xf numFmtId="0" fontId="6" fillId="6" borderId="7" xfId="0" applyNumberFormat="1" applyFont="1" applyFill="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6" fillId="3" borderId="3" xfId="0" applyFont="1" applyFill="1" applyBorder="1" applyAlignment="1">
      <alignment horizontal="justify" vertical="top" wrapText="1"/>
    </xf>
    <xf numFmtId="0" fontId="4" fillId="3" borderId="5" xfId="0" applyFont="1" applyFill="1" applyBorder="1" applyAlignment="1">
      <alignment horizontal="justify" vertical="top" wrapText="1"/>
    </xf>
    <xf numFmtId="0" fontId="3" fillId="3" borderId="6" xfId="1" applyFont="1" applyFill="1" applyBorder="1" applyAlignment="1">
      <alignment horizontal="justify" vertical="center" wrapText="1"/>
    </xf>
    <xf numFmtId="0" fontId="6" fillId="3" borderId="12" xfId="0" applyFont="1" applyFill="1" applyBorder="1" applyAlignment="1">
      <alignment horizontal="justify" vertical="top" wrapText="1"/>
    </xf>
    <xf numFmtId="0" fontId="62" fillId="5" borderId="10" xfId="0" applyFont="1" applyFill="1" applyBorder="1" applyAlignment="1">
      <alignment horizontal="left" vertical="top" wrapText="1"/>
    </xf>
    <xf numFmtId="0" fontId="62" fillId="5" borderId="11" xfId="0" applyFont="1" applyFill="1" applyBorder="1" applyAlignment="1">
      <alignment horizontal="left"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4" fillId="3" borderId="5" xfId="0" applyFont="1" applyFill="1" applyBorder="1" applyAlignment="1">
      <alignment horizontal="justify" vertical="top" wrapText="1"/>
    </xf>
    <xf numFmtId="0" fontId="6" fillId="3" borderId="5" xfId="0" applyFont="1" applyFill="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14" fontId="4" fillId="3" borderId="6" xfId="0" applyNumberFormat="1" applyFont="1" applyFill="1" applyBorder="1" applyAlignment="1">
      <alignment horizontal="justify" vertical="top" wrapText="1"/>
    </xf>
    <xf numFmtId="0" fontId="4" fillId="3" borderId="5" xfId="0" applyFont="1" applyFill="1" applyBorder="1" applyAlignment="1">
      <alignment horizontal="justify" vertical="top" wrapText="1"/>
    </xf>
    <xf numFmtId="0" fontId="4" fillId="3" borderId="5" xfId="0" applyFont="1" applyFill="1" applyBorder="1" applyAlignment="1">
      <alignment horizontal="justify" vertical="top" wrapText="1"/>
    </xf>
    <xf numFmtId="14" fontId="4" fillId="0" borderId="6" xfId="0" applyNumberFormat="1" applyFont="1" applyBorder="1" applyAlignment="1">
      <alignment horizontal="justify" vertical="top" wrapText="1"/>
    </xf>
    <xf numFmtId="0" fontId="6" fillId="3" borderId="3" xfId="0" applyFont="1" applyFill="1" applyBorder="1" applyAlignment="1">
      <alignment horizontal="justify" vertical="top" wrapText="1"/>
    </xf>
    <xf numFmtId="0" fontId="4" fillId="3" borderId="5" xfId="0" applyFont="1" applyFill="1" applyBorder="1" applyAlignment="1">
      <alignment horizontal="justify" vertical="top" wrapText="1"/>
    </xf>
    <xf numFmtId="0" fontId="3" fillId="3" borderId="5" xfId="1" applyFont="1" applyFill="1" applyBorder="1" applyAlignment="1">
      <alignment horizontal="justify" vertical="center" wrapText="1"/>
    </xf>
    <xf numFmtId="0" fontId="4" fillId="0" borderId="5" xfId="1" applyFont="1" applyBorder="1" applyAlignment="1">
      <alignment vertical="top" wrapText="1"/>
    </xf>
    <xf numFmtId="0" fontId="4" fillId="0" borderId="5" xfId="0" applyFont="1" applyBorder="1" applyAlignment="1">
      <alignment horizontal="justify" vertical="top" wrapText="1"/>
    </xf>
    <xf numFmtId="14" fontId="4" fillId="0" borderId="6" xfId="0" applyNumberFormat="1" applyFont="1" applyBorder="1" applyAlignment="1">
      <alignment horizontal="justify" vertical="top" wrapText="1"/>
    </xf>
    <xf numFmtId="0" fontId="6" fillId="3" borderId="3" xfId="0" applyFont="1" applyFill="1" applyBorder="1" applyAlignment="1">
      <alignment horizontal="justify" vertical="top" wrapText="1"/>
    </xf>
    <xf numFmtId="14" fontId="4" fillId="3" borderId="6" xfId="0" applyNumberFormat="1" applyFont="1" applyFill="1" applyBorder="1" applyAlignment="1">
      <alignment horizontal="justify" vertical="top" wrapText="1"/>
    </xf>
    <xf numFmtId="0" fontId="4" fillId="3" borderId="5" xfId="0" applyFont="1" applyFill="1" applyBorder="1" applyAlignment="1">
      <alignment horizontal="justify" vertical="top" wrapText="1"/>
    </xf>
    <xf numFmtId="0" fontId="4" fillId="3" borderId="3" xfId="0" applyFont="1" applyFill="1" applyBorder="1" applyAlignment="1">
      <alignment horizontal="justify" vertical="top" wrapText="1"/>
    </xf>
    <xf numFmtId="0" fontId="0" fillId="0" borderId="5" xfId="0" applyBorder="1"/>
    <xf numFmtId="14" fontId="3" fillId="0" borderId="6" xfId="0" applyNumberFormat="1" applyFont="1" applyBorder="1" applyAlignment="1">
      <alignment horizontal="justify" vertical="top" wrapText="1"/>
    </xf>
    <xf numFmtId="0" fontId="71" fillId="3" borderId="0" xfId="0" applyFont="1" applyFill="1"/>
    <xf numFmtId="0" fontId="4" fillId="3" borderId="6" xfId="0" applyFont="1" applyFill="1" applyBorder="1" applyAlignment="1">
      <alignment horizontal="justify" vertical="top" wrapText="1"/>
    </xf>
    <xf numFmtId="0" fontId="73" fillId="0" borderId="5" xfId="0" applyFont="1" applyBorder="1" applyAlignment="1">
      <alignment horizontal="left" vertical="top" wrapText="1"/>
    </xf>
    <xf numFmtId="14" fontId="73" fillId="0" borderId="5" xfId="0" applyNumberFormat="1" applyFont="1" applyBorder="1" applyAlignment="1">
      <alignment horizontal="left" vertical="top" wrapText="1"/>
    </xf>
    <xf numFmtId="0" fontId="73" fillId="0" borderId="5" xfId="0" applyFont="1" applyFill="1" applyBorder="1" applyAlignment="1">
      <alignment horizontal="left" vertical="top" wrapText="1"/>
    </xf>
    <xf numFmtId="0" fontId="0" fillId="0" borderId="5" xfId="0" applyBorder="1" applyAlignment="1">
      <alignment wrapText="1"/>
    </xf>
    <xf numFmtId="14" fontId="4" fillId="0" borderId="4" xfId="0" applyNumberFormat="1" applyFont="1" applyBorder="1" applyAlignment="1">
      <alignment horizontal="justify" vertical="top" wrapText="1"/>
    </xf>
    <xf numFmtId="0" fontId="0" fillId="0" borderId="13" xfId="0" applyBorder="1"/>
    <xf numFmtId="0" fontId="1" fillId="3" borderId="5" xfId="0" applyFont="1" applyFill="1" applyBorder="1" applyAlignment="1">
      <alignment vertical="center"/>
    </xf>
    <xf numFmtId="14" fontId="4" fillId="0" borderId="5" xfId="0" applyNumberFormat="1" applyFont="1" applyBorder="1" applyAlignment="1">
      <alignment horizontal="justify" vertical="center"/>
    </xf>
    <xf numFmtId="0" fontId="73" fillId="0" borderId="5" xfId="0" applyFont="1" applyBorder="1" applyAlignment="1">
      <alignment horizontal="left" vertical="center"/>
    </xf>
    <xf numFmtId="0" fontId="0" fillId="0" borderId="0" xfId="0" applyAlignment="1">
      <alignment vertical="top" wrapText="1"/>
    </xf>
    <xf numFmtId="0" fontId="0" fillId="0" borderId="5" xfId="0" applyBorder="1" applyAlignment="1">
      <alignment vertical="top" wrapText="1"/>
    </xf>
    <xf numFmtId="14" fontId="72" fillId="0" borderId="5" xfId="0" applyNumberFormat="1" applyFont="1" applyBorder="1"/>
    <xf numFmtId="0" fontId="73" fillId="0" borderId="5" xfId="0" applyFont="1" applyBorder="1" applyAlignment="1">
      <alignment vertical="top" wrapText="1"/>
    </xf>
    <xf numFmtId="14" fontId="73" fillId="0" borderId="5" xfId="0" applyNumberFormat="1" applyFont="1" applyBorder="1" applyAlignment="1">
      <alignment vertical="top" wrapText="1"/>
    </xf>
    <xf numFmtId="0" fontId="73" fillId="0" borderId="5" xfId="0" applyFont="1" applyBorder="1" applyAlignment="1">
      <alignment wrapText="1"/>
    </xf>
    <xf numFmtId="14" fontId="73" fillId="0" borderId="5" xfId="0" applyNumberFormat="1" applyFont="1" applyBorder="1" applyAlignment="1">
      <alignment wrapText="1"/>
    </xf>
    <xf numFmtId="0" fontId="73" fillId="0" borderId="5" xfId="0" applyFont="1" applyFill="1" applyBorder="1" applyAlignment="1">
      <alignment wrapText="1"/>
    </xf>
    <xf numFmtId="0" fontId="73" fillId="0" borderId="5" xfId="0" applyFont="1" applyBorder="1" applyAlignment="1">
      <alignment vertical="center" wrapText="1"/>
    </xf>
    <xf numFmtId="0" fontId="73" fillId="0" borderId="5" xfId="0" applyFont="1" applyBorder="1" applyAlignment="1">
      <alignment horizontal="left" vertical="center" wrapText="1"/>
    </xf>
    <xf numFmtId="0" fontId="73" fillId="0" borderId="5" xfId="0" applyFont="1" applyBorder="1" applyAlignment="1">
      <alignment vertical="center"/>
    </xf>
    <xf numFmtId="14" fontId="73" fillId="0" borderId="6" xfId="0" applyNumberFormat="1" applyFont="1" applyBorder="1" applyAlignment="1">
      <alignment horizontal="justify" vertical="top" wrapText="1"/>
    </xf>
    <xf numFmtId="0" fontId="73" fillId="3" borderId="5" xfId="0" applyFont="1" applyFill="1" applyBorder="1" applyAlignment="1">
      <alignment horizontal="justify" vertical="top" wrapText="1"/>
    </xf>
    <xf numFmtId="0" fontId="75" fillId="3" borderId="3" xfId="0" applyFont="1" applyFill="1" applyBorder="1" applyAlignment="1">
      <alignment horizontal="justify" vertical="top" wrapText="1"/>
    </xf>
    <xf numFmtId="0" fontId="76" fillId="3" borderId="5" xfId="1" applyFont="1" applyFill="1" applyBorder="1" applyAlignment="1">
      <alignment horizontal="justify" vertical="center" wrapText="1"/>
    </xf>
    <xf numFmtId="14" fontId="73" fillId="0" borderId="5" xfId="0" applyNumberFormat="1" applyFont="1" applyBorder="1" applyAlignment="1">
      <alignment horizontal="justify" vertical="top" wrapText="1"/>
    </xf>
    <xf numFmtId="0" fontId="75" fillId="3" borderId="5" xfId="0" applyFont="1" applyFill="1" applyBorder="1" applyAlignment="1">
      <alignment horizontal="justify" vertical="top" wrapText="1"/>
    </xf>
    <xf numFmtId="14" fontId="73" fillId="0" borderId="5" xfId="0" applyNumberFormat="1" applyFont="1" applyFill="1" applyBorder="1" applyAlignment="1">
      <alignment horizontal="left" vertical="top" wrapText="1"/>
    </xf>
    <xf numFmtId="14" fontId="73" fillId="0" borderId="4" xfId="0" applyNumberFormat="1" applyFont="1" applyBorder="1" applyAlignment="1">
      <alignment horizontal="justify" vertical="top" wrapText="1"/>
    </xf>
    <xf numFmtId="0" fontId="73" fillId="3" borderId="4" xfId="0" applyFont="1" applyFill="1" applyBorder="1" applyAlignment="1">
      <alignment horizontal="justify" vertical="top" wrapText="1"/>
    </xf>
    <xf numFmtId="0" fontId="75" fillId="3" borderId="4" xfId="0" applyFont="1" applyFill="1" applyBorder="1" applyAlignment="1">
      <alignment horizontal="justify" vertical="top" wrapText="1"/>
    </xf>
    <xf numFmtId="0" fontId="76" fillId="3" borderId="4" xfId="1" applyFont="1" applyFill="1" applyBorder="1" applyAlignment="1">
      <alignment horizontal="justify" vertical="center" wrapText="1"/>
    </xf>
    <xf numFmtId="0" fontId="75" fillId="3" borderId="5" xfId="0" applyFont="1" applyFill="1" applyBorder="1" applyAlignment="1">
      <alignment horizontal="justify" vertical="center"/>
    </xf>
    <xf numFmtId="0" fontId="76" fillId="3" borderId="5" xfId="1" applyFont="1" applyFill="1" applyBorder="1" applyAlignment="1">
      <alignment horizontal="justify" vertical="center"/>
    </xf>
  </cellXfs>
  <cellStyles count="203">
    <cellStyle name="Hyperlink" xfId="2"/>
    <cellStyle name="Hyperlink 10" xfId="117"/>
    <cellStyle name="Hyperlink 10 2" xfId="153"/>
    <cellStyle name="Hyperlink 11" xfId="119"/>
    <cellStyle name="Hyperlink 12" xfId="123"/>
    <cellStyle name="Hyperlink 12 2" xfId="157"/>
    <cellStyle name="Hyperlink 13" xfId="160"/>
    <cellStyle name="Hyperlink 2" xfId="12"/>
    <cellStyle name="Hyperlink 2 2" xfId="21"/>
    <cellStyle name="Hyperlink 2 2 2" xfId="37"/>
    <cellStyle name="Hyperlink 2 3" xfId="28"/>
    <cellStyle name="Hyperlink 2 4" xfId="77"/>
    <cellStyle name="Hyperlink 2 5" xfId="88"/>
    <cellStyle name="Hyperlink 2 5 2" xfId="134"/>
    <cellStyle name="Hyperlink 2 6" xfId="100"/>
    <cellStyle name="Hyperlink 2 7" xfId="102"/>
    <cellStyle name="Hyperlink 3" xfId="15"/>
    <cellStyle name="Hyperlink 3 2" xfId="124"/>
    <cellStyle name="Hyperlink 4" xfId="41"/>
    <cellStyle name="Hyperlink 4 2" xfId="60"/>
    <cellStyle name="Hyperlink 5" xfId="49"/>
    <cellStyle name="Hyperlink 5 2" xfId="68"/>
    <cellStyle name="Hyperlink 6" xfId="54"/>
    <cellStyle name="Hyperlink 6 2" xfId="72"/>
    <cellStyle name="Hyperlink 7" xfId="55"/>
    <cellStyle name="Hyperlink 8" xfId="92"/>
    <cellStyle name="Hyperlink 8 2" xfId="138"/>
    <cellStyle name="Hyperlink 9" xfId="104"/>
    <cellStyle name="Hyperlink 9 2" xfId="143"/>
    <cellStyle name="Гиперссылка 10" xfId="81"/>
    <cellStyle name="Гиперссылка 10 2" xfId="128"/>
    <cellStyle name="Гиперссылка 11" xfId="94"/>
    <cellStyle name="Гиперссылка 11 2" xfId="140"/>
    <cellStyle name="Гиперссылка 12" xfId="98"/>
    <cellStyle name="Гиперссылка 13" xfId="106"/>
    <cellStyle name="Гиперссылка 13 2" xfId="145"/>
    <cellStyle name="Гиперссылка 14" xfId="110"/>
    <cellStyle name="Гиперссылка 14 2" xfId="149"/>
    <cellStyle name="Гиперссылка 15" xfId="111"/>
    <cellStyle name="Гиперссылка 16" xfId="113"/>
    <cellStyle name="Гиперссылка 17" xfId="158"/>
    <cellStyle name="Гиперссылка 18" xfId="164"/>
    <cellStyle name="Гиперссылка 19" xfId="201"/>
    <cellStyle name="Гиперссылка 2" xfId="4"/>
    <cellStyle name="Гиперссылка 2 2" xfId="33"/>
    <cellStyle name="Гиперссылка 2 3" xfId="82"/>
    <cellStyle name="Гиперссылка 3" xfId="5"/>
    <cellStyle name="Гиперссылка 3 2" xfId="101"/>
    <cellStyle name="Гиперссылка 4" xfId="31"/>
    <cellStyle name="Гиперссылка 5" xfId="43"/>
    <cellStyle name="Гиперссылка 5 2" xfId="62"/>
    <cellStyle name="Гиперссылка 6" xfId="47"/>
    <cellStyle name="Гиперссылка 6 2" xfId="66"/>
    <cellStyle name="Гиперссылка 7" xfId="52"/>
    <cellStyle name="Гиперссылка 7 2" xfId="71"/>
    <cellStyle name="Гиперссылка 8" xfId="73"/>
    <cellStyle name="Гиперссылка 9" xfId="80"/>
    <cellStyle name="Обычный" xfId="0" builtinId="0"/>
    <cellStyle name="Обычный 10" xfId="45"/>
    <cellStyle name="Обычный 10 2" xfId="64"/>
    <cellStyle name="Обычный 11" xfId="48"/>
    <cellStyle name="Обычный 11 2" xfId="67"/>
    <cellStyle name="Обычный 11 2 2" xfId="193"/>
    <cellStyle name="Обычный 11 3" xfId="187"/>
    <cellStyle name="Обычный 12" xfId="53"/>
    <cellStyle name="Обычный 13" xfId="56"/>
    <cellStyle name="Обычный 14" xfId="57"/>
    <cellStyle name="Обычный 14 2" xfId="126"/>
    <cellStyle name="Обычный 15" xfId="84"/>
    <cellStyle name="Обычный 15 2" xfId="130"/>
    <cellStyle name="Обычный 16" xfId="91"/>
    <cellStyle name="Обычный 16 2" xfId="137"/>
    <cellStyle name="Обычный 17" xfId="96"/>
    <cellStyle name="Обычный 18" xfId="103"/>
    <cellStyle name="Обычный 18 2" xfId="142"/>
    <cellStyle name="Обычный 19" xfId="108"/>
    <cellStyle name="Обычный 19 2" xfId="147"/>
    <cellStyle name="Обычный 2" xfId="3"/>
    <cellStyle name="Обычный 2 2" xfId="13"/>
    <cellStyle name="Обычный 2 2 2" xfId="22"/>
    <cellStyle name="Обычный 2 2 2 2" xfId="38"/>
    <cellStyle name="Обычный 2 2 2 2 2" xfId="182"/>
    <cellStyle name="Обычный 2 2 2 3" xfId="175"/>
    <cellStyle name="Обычный 2 2 3" xfId="29"/>
    <cellStyle name="Обычный 2 2 3 2" xfId="178"/>
    <cellStyle name="Обычный 2 2 4" xfId="78"/>
    <cellStyle name="Обычный 2 2 4 2" xfId="197"/>
    <cellStyle name="Обычный 2 2 5" xfId="89"/>
    <cellStyle name="Обычный 2 2 5 2" xfId="135"/>
    <cellStyle name="Обычный 2 2 6" xfId="170"/>
    <cellStyle name="Обычный 2 3" xfId="44"/>
    <cellStyle name="Обычный 2 3 2" xfId="63"/>
    <cellStyle name="Обычный 2 3 2 2" xfId="192"/>
    <cellStyle name="Обычный 2 3 3" xfId="186"/>
    <cellStyle name="Обычный 2 4" xfId="50"/>
    <cellStyle name="Обычный 2 4 2" xfId="69"/>
    <cellStyle name="Обычный 2 4 2 2" xfId="194"/>
    <cellStyle name="Обычный 2 4 3" xfId="188"/>
    <cellStyle name="Обычный 2 5" xfId="95"/>
    <cellStyle name="Обычный 2 5 2" xfId="141"/>
    <cellStyle name="Обычный 2 6" xfId="107"/>
    <cellStyle name="Обычный 2 6 2" xfId="146"/>
    <cellStyle name="Обычный 2 7" xfId="162"/>
    <cellStyle name="Обычный 2 7 2" xfId="167"/>
    <cellStyle name="Обычный 20" xfId="109"/>
    <cellStyle name="Обычный 20 2" xfId="148"/>
    <cellStyle name="Обычный 21" xfId="112"/>
    <cellStyle name="Обычный 22" xfId="114"/>
    <cellStyle name="Обычный 22 2" xfId="150"/>
    <cellStyle name="Обычный 23" xfId="116"/>
    <cellStyle name="Обычный 23 2" xfId="152"/>
    <cellStyle name="Обычный 24" xfId="118"/>
    <cellStyle name="Обычный 25" xfId="120"/>
    <cellStyle name="Обычный 25 2" xfId="154"/>
    <cellStyle name="Обычный 26" xfId="121"/>
    <cellStyle name="Обычный 26 2" xfId="155"/>
    <cellStyle name="Обычный 27" xfId="122"/>
    <cellStyle name="Обычный 27 2" xfId="156"/>
    <cellStyle name="Обычный 28" xfId="163"/>
    <cellStyle name="Обычный 28 2" xfId="202"/>
    <cellStyle name="Обычный 29" xfId="166"/>
    <cellStyle name="Обычный 3" xfId="1"/>
    <cellStyle name="Обычный 3 10" xfId="83"/>
    <cellStyle name="Обычный 3 10 2" xfId="129"/>
    <cellStyle name="Обычный 3 11" xfId="93"/>
    <cellStyle name="Обычный 3 11 2" xfId="139"/>
    <cellStyle name="Обычный 3 12" xfId="97"/>
    <cellStyle name="Обычный 3 13" xfId="105"/>
    <cellStyle name="Обычный 3 13 2" xfId="144"/>
    <cellStyle name="Обычный 3 14" xfId="115"/>
    <cellStyle name="Обычный 3 14 2" xfId="151"/>
    <cellStyle name="Обычный 3 15" xfId="161"/>
    <cellStyle name="Обычный 3 2" xfId="7"/>
    <cellStyle name="Обычный 3 2 2" xfId="99"/>
    <cellStyle name="Обычный 3 3" xfId="10"/>
    <cellStyle name="Обычный 3 3 2" xfId="19"/>
    <cellStyle name="Обычный 3 3 2 2" xfId="35"/>
    <cellStyle name="Обычный 3 3 3" xfId="26"/>
    <cellStyle name="Обычный 3 3 4" xfId="75"/>
    <cellStyle name="Обычный 3 3 5" xfId="86"/>
    <cellStyle name="Обычный 3 3 5 2" xfId="132"/>
    <cellStyle name="Обычный 3 3 6" xfId="125"/>
    <cellStyle name="Обычный 3 3 6 2" xfId="199"/>
    <cellStyle name="Обычный 3 4" xfId="11"/>
    <cellStyle name="Обычный 3 4 2" xfId="20"/>
    <cellStyle name="Обычный 3 4 2 2" xfId="36"/>
    <cellStyle name="Обычный 3 4 2 2 2" xfId="181"/>
    <cellStyle name="Обычный 3 4 2 3" xfId="174"/>
    <cellStyle name="Обычный 3 4 3" xfId="27"/>
    <cellStyle name="Обычный 3 4 3 2" xfId="177"/>
    <cellStyle name="Обычный 3 4 4" xfId="76"/>
    <cellStyle name="Обычный 3 4 4 2" xfId="196"/>
    <cellStyle name="Обычный 3 4 5" xfId="87"/>
    <cellStyle name="Обычный 3 4 5 2" xfId="133"/>
    <cellStyle name="Обычный 3 4 6" xfId="169"/>
    <cellStyle name="Обычный 3 5" xfId="16"/>
    <cellStyle name="Обычный 3 5 2" xfId="172"/>
    <cellStyle name="Обычный 3 6" xfId="42"/>
    <cellStyle name="Обычный 3 6 2" xfId="61"/>
    <cellStyle name="Обычный 3 6 2 2" xfId="191"/>
    <cellStyle name="Обычный 3 6 3" xfId="185"/>
    <cellStyle name="Обычный 3 7" xfId="46"/>
    <cellStyle name="Обычный 3 7 2" xfId="65"/>
    <cellStyle name="Обычный 3 8" xfId="51"/>
    <cellStyle name="Обычный 3 8 2" xfId="70"/>
    <cellStyle name="Обычный 3 8 2 2" xfId="195"/>
    <cellStyle name="Обычный 3 8 3" xfId="189"/>
    <cellStyle name="Обычный 3 9" xfId="58"/>
    <cellStyle name="Обычный 3 9 2" xfId="127"/>
    <cellStyle name="Обычный 30" xfId="165"/>
    <cellStyle name="Обычный 31" xfId="200"/>
    <cellStyle name="Обычный 4" xfId="6"/>
    <cellStyle name="Обычный 4 2" xfId="32"/>
    <cellStyle name="Обычный 4 2 2" xfId="180"/>
    <cellStyle name="Обычный 5" xfId="8"/>
    <cellStyle name="Обычный 5 2" xfId="17"/>
    <cellStyle name="Обычный 5 2 2" xfId="173"/>
    <cellStyle name="Обычный 5 3" xfId="159"/>
    <cellStyle name="Обычный 5 3 2" xfId="168"/>
    <cellStyle name="Обычный 6" xfId="9"/>
    <cellStyle name="Обычный 6 2" xfId="18"/>
    <cellStyle name="Обычный 6 2 2" xfId="34"/>
    <cellStyle name="Обычный 6 3" xfId="25"/>
    <cellStyle name="Обычный 6 4" xfId="74"/>
    <cellStyle name="Обычный 6 5" xfId="85"/>
    <cellStyle name="Обычный 6 5 2" xfId="131"/>
    <cellStyle name="Обычный 7" xfId="14"/>
    <cellStyle name="Обычный 7 2" xfId="23"/>
    <cellStyle name="Обычный 7 2 2" xfId="39"/>
    <cellStyle name="Обычный 7 2 2 2" xfId="183"/>
    <cellStyle name="Обычный 7 2 3" xfId="176"/>
    <cellStyle name="Обычный 7 3" xfId="30"/>
    <cellStyle name="Обычный 7 3 2" xfId="179"/>
    <cellStyle name="Обычный 7 4" xfId="79"/>
    <cellStyle name="Обычный 7 4 2" xfId="198"/>
    <cellStyle name="Обычный 7 5" xfId="90"/>
    <cellStyle name="Обычный 7 5 2" xfId="136"/>
    <cellStyle name="Обычный 7 6" xfId="171"/>
    <cellStyle name="Обычный 8" xfId="24"/>
    <cellStyle name="Обычный 9" xfId="40"/>
    <cellStyle name="Обычный 9 2" xfId="59"/>
    <cellStyle name="Обычный 9 2 2" xfId="190"/>
    <cellStyle name="Обычный 9 3" xfId="184"/>
  </cellStyles>
  <dxfs count="0"/>
  <tableStyles count="0" defaultTableStyle="TableStyleMedium2" defaultPivotStyle="PivotStyleLight16"/>
  <colors>
    <mruColors>
      <color rgb="FFD5D0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5"/>
  <sheetViews>
    <sheetView tabSelected="1" topLeftCell="G1" zoomScaleNormal="100" workbookViewId="0">
      <pane ySplit="1" topLeftCell="A219" activePane="bottomLeft" state="frozen"/>
      <selection pane="bottomLeft" activeCell="M222" sqref="M222"/>
    </sheetView>
  </sheetViews>
  <sheetFormatPr defaultRowHeight="14.4" x14ac:dyDescent="0.3"/>
  <cols>
    <col min="1" max="1" width="4.88671875" customWidth="1"/>
    <col min="2" max="2" width="27.109375" customWidth="1"/>
    <col min="3" max="3" width="20" customWidth="1"/>
    <col min="4" max="4" width="20.44140625" customWidth="1"/>
    <col min="5" max="5" width="16" customWidth="1"/>
    <col min="6" max="6" width="18.109375" customWidth="1"/>
    <col min="7" max="7" width="23" style="2" customWidth="1"/>
    <col min="8" max="8" width="10.88671875" style="2" customWidth="1"/>
    <col min="11" max="11" width="12.44140625" customWidth="1"/>
    <col min="12" max="12" width="23.33203125" customWidth="1"/>
    <col min="13" max="13" width="19.44140625" customWidth="1"/>
    <col min="14" max="14" width="18.109375" customWidth="1"/>
    <col min="15" max="15" width="41.5546875" customWidth="1"/>
  </cols>
  <sheetData>
    <row r="1" spans="1:15" s="3" customFormat="1" ht="121.5" customHeight="1" x14ac:dyDescent="0.3">
      <c r="A1" s="1" t="s">
        <v>802</v>
      </c>
      <c r="B1" s="6" t="s">
        <v>803</v>
      </c>
      <c r="C1" s="6" t="s">
        <v>801</v>
      </c>
      <c r="D1" s="6" t="s">
        <v>804</v>
      </c>
      <c r="E1" s="6" t="s">
        <v>805</v>
      </c>
      <c r="F1" s="6" t="s">
        <v>806</v>
      </c>
      <c r="G1" s="1" t="s">
        <v>807</v>
      </c>
      <c r="H1" s="1" t="s">
        <v>808</v>
      </c>
      <c r="I1" s="1" t="s">
        <v>809</v>
      </c>
      <c r="J1" s="1" t="s">
        <v>810</v>
      </c>
      <c r="K1" s="1" t="s">
        <v>811</v>
      </c>
      <c r="L1" s="1" t="s">
        <v>812</v>
      </c>
      <c r="M1" s="1" t="s">
        <v>814</v>
      </c>
      <c r="N1" s="1" t="s">
        <v>813</v>
      </c>
      <c r="O1" s="1" t="s">
        <v>815</v>
      </c>
    </row>
    <row r="2" spans="1:15" s="14" customFormat="1" ht="121.5" customHeight="1" x14ac:dyDescent="0.3">
      <c r="A2" s="79"/>
      <c r="B2" s="18" t="s">
        <v>32</v>
      </c>
      <c r="C2" s="18" t="s">
        <v>77</v>
      </c>
      <c r="D2" s="18" t="s">
        <v>816</v>
      </c>
      <c r="E2" s="18" t="s">
        <v>2</v>
      </c>
      <c r="F2" s="17">
        <v>45662</v>
      </c>
      <c r="G2" s="9" t="s">
        <v>21</v>
      </c>
      <c r="H2" s="19">
        <v>1</v>
      </c>
      <c r="I2" s="19">
        <v>0</v>
      </c>
      <c r="J2" s="19">
        <v>16</v>
      </c>
      <c r="K2" s="19">
        <v>0</v>
      </c>
      <c r="L2" s="19">
        <v>17</v>
      </c>
      <c r="M2" s="85" t="s">
        <v>70</v>
      </c>
      <c r="N2" s="16" t="s">
        <v>11</v>
      </c>
      <c r="O2" s="16" t="s">
        <v>69</v>
      </c>
    </row>
    <row r="3" spans="1:15" s="14" customFormat="1" ht="96" x14ac:dyDescent="0.3">
      <c r="A3" s="79"/>
      <c r="B3" s="7" t="s">
        <v>0</v>
      </c>
      <c r="C3" s="7" t="s">
        <v>258</v>
      </c>
      <c r="D3" s="7" t="s">
        <v>817</v>
      </c>
      <c r="E3" s="7" t="s">
        <v>2</v>
      </c>
      <c r="F3" s="7">
        <v>45670</v>
      </c>
      <c r="G3" s="85" t="s">
        <v>273</v>
      </c>
      <c r="H3" s="83">
        <v>0</v>
      </c>
      <c r="I3" s="83">
        <v>70</v>
      </c>
      <c r="J3" s="83">
        <v>200</v>
      </c>
      <c r="K3" s="83">
        <v>30</v>
      </c>
      <c r="L3" s="83">
        <f>SUBTOTAL(9,H3:K3)</f>
        <v>300</v>
      </c>
      <c r="M3" s="9" t="s">
        <v>50</v>
      </c>
      <c r="N3" s="9" t="s">
        <v>11</v>
      </c>
      <c r="O3" s="9" t="s">
        <v>49</v>
      </c>
    </row>
    <row r="4" spans="1:15" s="29" customFormat="1" ht="48" x14ac:dyDescent="0.3">
      <c r="A4" s="56"/>
      <c r="B4" s="82" t="s">
        <v>0</v>
      </c>
      <c r="C4" s="7" t="s">
        <v>258</v>
      </c>
      <c r="D4" s="7" t="s">
        <v>817</v>
      </c>
      <c r="E4" s="82" t="s">
        <v>14</v>
      </c>
      <c r="F4" s="82">
        <v>45670</v>
      </c>
      <c r="G4" s="85" t="s">
        <v>273</v>
      </c>
      <c r="H4" s="70">
        <v>0</v>
      </c>
      <c r="I4" s="70">
        <v>0</v>
      </c>
      <c r="J4" s="70">
        <v>7</v>
      </c>
      <c r="K4" s="70">
        <v>0</v>
      </c>
      <c r="L4" s="70">
        <v>7</v>
      </c>
      <c r="M4" s="85" t="s">
        <v>259</v>
      </c>
      <c r="N4" s="85" t="s">
        <v>19</v>
      </c>
      <c r="O4" s="85" t="s">
        <v>260</v>
      </c>
    </row>
    <row r="5" spans="1:15" s="14" customFormat="1" ht="72" x14ac:dyDescent="0.3">
      <c r="A5" s="7"/>
      <c r="B5" s="7" t="s">
        <v>38</v>
      </c>
      <c r="C5" s="7" t="s">
        <v>51</v>
      </c>
      <c r="D5" s="7" t="s">
        <v>817</v>
      </c>
      <c r="E5" s="7" t="s">
        <v>2</v>
      </c>
      <c r="F5" s="7">
        <v>45673</v>
      </c>
      <c r="G5" s="9" t="s">
        <v>53</v>
      </c>
      <c r="H5" s="58">
        <v>3</v>
      </c>
      <c r="I5" s="58">
        <v>15</v>
      </c>
      <c r="J5" s="59">
        <v>20</v>
      </c>
      <c r="K5" s="59">
        <v>14</v>
      </c>
      <c r="L5" s="57">
        <f>SUBTOTAL(9,H5:K5)</f>
        <v>52</v>
      </c>
      <c r="M5" s="9" t="s">
        <v>8</v>
      </c>
      <c r="N5" s="9" t="s">
        <v>11</v>
      </c>
      <c r="O5" s="9" t="s">
        <v>52</v>
      </c>
    </row>
    <row r="6" spans="1:15" s="14" customFormat="1" ht="108" x14ac:dyDescent="0.3">
      <c r="A6" s="7"/>
      <c r="B6" s="7" t="s">
        <v>0</v>
      </c>
      <c r="C6" s="7" t="s">
        <v>55</v>
      </c>
      <c r="D6" s="7" t="s">
        <v>817</v>
      </c>
      <c r="E6" s="7" t="s">
        <v>2</v>
      </c>
      <c r="F6" s="7">
        <v>45673</v>
      </c>
      <c r="G6" s="85" t="s">
        <v>3</v>
      </c>
      <c r="H6" s="83">
        <v>15</v>
      </c>
      <c r="I6" s="83">
        <v>37</v>
      </c>
      <c r="J6" s="83">
        <v>298</v>
      </c>
      <c r="K6" s="83">
        <v>19</v>
      </c>
      <c r="L6" s="83">
        <f>SUBTOTAL(9,H6:K6)</f>
        <v>369</v>
      </c>
      <c r="M6" s="8" t="s">
        <v>18</v>
      </c>
      <c r="N6" s="9" t="s">
        <v>11</v>
      </c>
      <c r="O6" s="9" t="s">
        <v>54</v>
      </c>
    </row>
    <row r="7" spans="1:15" s="29" customFormat="1" ht="36" x14ac:dyDescent="0.3">
      <c r="A7" s="82"/>
      <c r="B7" s="82" t="s">
        <v>0</v>
      </c>
      <c r="C7" s="7" t="s">
        <v>55</v>
      </c>
      <c r="D7" s="7" t="s">
        <v>817</v>
      </c>
      <c r="E7" s="82" t="s">
        <v>14</v>
      </c>
      <c r="F7" s="82">
        <v>45673</v>
      </c>
      <c r="G7" s="85" t="s">
        <v>3</v>
      </c>
      <c r="H7" s="83">
        <v>0</v>
      </c>
      <c r="I7" s="83">
        <v>0</v>
      </c>
      <c r="J7" s="83">
        <v>8</v>
      </c>
      <c r="K7" s="83">
        <v>0</v>
      </c>
      <c r="L7" s="83">
        <v>8</v>
      </c>
      <c r="M7" s="85" t="s">
        <v>259</v>
      </c>
      <c r="N7" s="85" t="s">
        <v>19</v>
      </c>
      <c r="O7" s="85" t="s">
        <v>260</v>
      </c>
    </row>
    <row r="8" spans="1:15" s="14" customFormat="1" ht="96" x14ac:dyDescent="0.3">
      <c r="A8" s="82"/>
      <c r="B8" s="82" t="s">
        <v>37</v>
      </c>
      <c r="C8" s="82" t="s">
        <v>66</v>
      </c>
      <c r="D8" s="82" t="s">
        <v>817</v>
      </c>
      <c r="E8" s="82" t="s">
        <v>2</v>
      </c>
      <c r="F8" s="82">
        <v>45680</v>
      </c>
      <c r="G8" s="85" t="s">
        <v>3</v>
      </c>
      <c r="H8" s="5">
        <v>3</v>
      </c>
      <c r="I8" s="5">
        <v>3</v>
      </c>
      <c r="J8" s="5">
        <v>20</v>
      </c>
      <c r="K8" s="5">
        <v>0</v>
      </c>
      <c r="L8" s="5">
        <f>SUBTOTAL(9,H8:K8)</f>
        <v>26</v>
      </c>
      <c r="M8" s="81" t="s">
        <v>67</v>
      </c>
      <c r="N8" s="85" t="s">
        <v>11</v>
      </c>
      <c r="O8" s="85" t="s">
        <v>68</v>
      </c>
    </row>
    <row r="9" spans="1:15" s="14" customFormat="1" ht="144" x14ac:dyDescent="0.3">
      <c r="A9" s="7"/>
      <c r="B9" s="7" t="s">
        <v>1</v>
      </c>
      <c r="C9" s="7" t="s">
        <v>56</v>
      </c>
      <c r="D9" s="7" t="s">
        <v>817</v>
      </c>
      <c r="E9" s="7" t="s">
        <v>2</v>
      </c>
      <c r="F9" s="7">
        <v>45681</v>
      </c>
      <c r="G9" s="9" t="s">
        <v>31</v>
      </c>
      <c r="H9" s="5">
        <v>200</v>
      </c>
      <c r="I9" s="5">
        <v>8</v>
      </c>
      <c r="J9" s="5">
        <v>32</v>
      </c>
      <c r="K9" s="5">
        <v>16</v>
      </c>
      <c r="L9" s="5">
        <f>SUBTOTAL(9,H9:K9)</f>
        <v>256</v>
      </c>
      <c r="M9" s="9" t="s">
        <v>26</v>
      </c>
      <c r="N9" s="9" t="s">
        <v>11</v>
      </c>
      <c r="O9" s="9" t="s">
        <v>57</v>
      </c>
    </row>
    <row r="10" spans="1:15" s="14" customFormat="1" ht="36" x14ac:dyDescent="0.3">
      <c r="A10" s="15"/>
      <c r="B10" s="15" t="s">
        <v>32</v>
      </c>
      <c r="C10" s="18" t="s">
        <v>77</v>
      </c>
      <c r="D10" s="15" t="s">
        <v>816</v>
      </c>
      <c r="E10" s="15" t="s">
        <v>14</v>
      </c>
      <c r="F10" s="15">
        <v>45682</v>
      </c>
      <c r="G10" s="9" t="s">
        <v>21</v>
      </c>
      <c r="H10" s="5">
        <v>0</v>
      </c>
      <c r="I10" s="5">
        <v>0</v>
      </c>
      <c r="J10" s="5">
        <v>16</v>
      </c>
      <c r="K10" s="5">
        <v>0</v>
      </c>
      <c r="L10" s="5">
        <v>16</v>
      </c>
      <c r="M10" s="85" t="s">
        <v>70</v>
      </c>
      <c r="N10" s="85" t="s">
        <v>11</v>
      </c>
      <c r="O10" s="13" t="s">
        <v>69</v>
      </c>
    </row>
    <row r="11" spans="1:15" s="14" customFormat="1" ht="48" x14ac:dyDescent="0.3">
      <c r="A11" s="82"/>
      <c r="B11" s="82" t="s">
        <v>0</v>
      </c>
      <c r="C11" s="82" t="s">
        <v>58</v>
      </c>
      <c r="D11" s="82" t="s">
        <v>816</v>
      </c>
      <c r="E11" s="82" t="s">
        <v>2</v>
      </c>
      <c r="F11" s="82">
        <v>45684</v>
      </c>
      <c r="G11" s="85" t="s">
        <v>59</v>
      </c>
      <c r="H11" s="5">
        <v>0</v>
      </c>
      <c r="I11" s="5">
        <v>4</v>
      </c>
      <c r="J11" s="5">
        <v>26</v>
      </c>
      <c r="K11" s="5">
        <v>0</v>
      </c>
      <c r="L11" s="5">
        <f>SUBTOTAL(9,H11:K11)</f>
        <v>30</v>
      </c>
      <c r="M11" s="85" t="s">
        <v>25</v>
      </c>
      <c r="N11" s="9" t="s">
        <v>11</v>
      </c>
      <c r="O11" s="85" t="s">
        <v>60</v>
      </c>
    </row>
    <row r="12" spans="1:15" s="14" customFormat="1" ht="48" x14ac:dyDescent="0.3">
      <c r="A12" s="11"/>
      <c r="B12" s="11" t="s">
        <v>28</v>
      </c>
      <c r="C12" s="81" t="s">
        <v>61</v>
      </c>
      <c r="D12" s="11" t="s">
        <v>816</v>
      </c>
      <c r="E12" s="11" t="s">
        <v>2</v>
      </c>
      <c r="F12" s="11">
        <v>45684</v>
      </c>
      <c r="G12" s="85" t="s">
        <v>3</v>
      </c>
      <c r="H12" s="5">
        <v>0</v>
      </c>
      <c r="I12" s="5">
        <v>1</v>
      </c>
      <c r="J12" s="5">
        <v>28</v>
      </c>
      <c r="K12" s="5">
        <v>0</v>
      </c>
      <c r="L12" s="5">
        <v>29</v>
      </c>
      <c r="M12" s="13" t="s">
        <v>62</v>
      </c>
      <c r="N12" s="9" t="s">
        <v>11</v>
      </c>
      <c r="O12" s="13" t="s">
        <v>63</v>
      </c>
    </row>
    <row r="13" spans="1:15" s="14" customFormat="1" ht="90" customHeight="1" x14ac:dyDescent="0.3">
      <c r="A13" s="11"/>
      <c r="B13" s="11" t="s">
        <v>6</v>
      </c>
      <c r="C13" s="11" t="s">
        <v>64</v>
      </c>
      <c r="D13" s="15" t="s">
        <v>816</v>
      </c>
      <c r="E13" s="15" t="s">
        <v>2</v>
      </c>
      <c r="F13" s="15">
        <v>45684</v>
      </c>
      <c r="G13" s="85" t="s">
        <v>3</v>
      </c>
      <c r="H13" s="5">
        <v>30</v>
      </c>
      <c r="I13" s="5">
        <v>30</v>
      </c>
      <c r="J13" s="5">
        <v>50</v>
      </c>
      <c r="K13" s="5">
        <v>15</v>
      </c>
      <c r="L13" s="5">
        <f>SUBTOTAL(9,H13:K13)</f>
        <v>125</v>
      </c>
      <c r="M13" s="13" t="s">
        <v>47</v>
      </c>
      <c r="N13" s="9" t="s">
        <v>11</v>
      </c>
      <c r="O13" s="13" t="s">
        <v>65</v>
      </c>
    </row>
    <row r="14" spans="1:15" s="29" customFormat="1" ht="75.75" customHeight="1" x14ac:dyDescent="0.3">
      <c r="A14" s="60"/>
      <c r="B14" s="64" t="s">
        <v>28</v>
      </c>
      <c r="C14" s="82" t="s">
        <v>249</v>
      </c>
      <c r="D14" s="60" t="s">
        <v>817</v>
      </c>
      <c r="E14" s="60" t="s">
        <v>2</v>
      </c>
      <c r="F14" s="62">
        <v>45684</v>
      </c>
      <c r="G14" s="85" t="s">
        <v>3</v>
      </c>
      <c r="H14" s="54">
        <v>5</v>
      </c>
      <c r="I14" s="54">
        <v>1</v>
      </c>
      <c r="J14" s="54">
        <v>24</v>
      </c>
      <c r="K14" s="54">
        <v>10</v>
      </c>
      <c r="L14" s="54">
        <v>30</v>
      </c>
      <c r="M14" s="61" t="s">
        <v>5</v>
      </c>
      <c r="N14" s="85" t="s">
        <v>11</v>
      </c>
      <c r="O14" s="61" t="s">
        <v>250</v>
      </c>
    </row>
    <row r="15" spans="1:15" s="29" customFormat="1" ht="48" x14ac:dyDescent="0.3">
      <c r="A15" s="72"/>
      <c r="B15" s="72" t="s">
        <v>0</v>
      </c>
      <c r="C15" s="72" t="s">
        <v>276</v>
      </c>
      <c r="D15" s="72" t="s">
        <v>817</v>
      </c>
      <c r="E15" s="72" t="s">
        <v>2</v>
      </c>
      <c r="F15" s="72">
        <v>45685</v>
      </c>
      <c r="G15" s="85" t="s">
        <v>3</v>
      </c>
      <c r="H15" s="54">
        <v>0</v>
      </c>
      <c r="I15" s="54">
        <v>10</v>
      </c>
      <c r="J15" s="54">
        <v>13</v>
      </c>
      <c r="K15" s="54">
        <v>0</v>
      </c>
      <c r="L15" s="54">
        <v>23</v>
      </c>
      <c r="M15" s="71" t="s">
        <v>277</v>
      </c>
      <c r="N15" s="85" t="s">
        <v>11</v>
      </c>
      <c r="O15" s="71" t="s">
        <v>278</v>
      </c>
    </row>
    <row r="16" spans="1:15" s="29" customFormat="1" ht="36" x14ac:dyDescent="0.3">
      <c r="A16" s="72"/>
      <c r="B16" s="72" t="s">
        <v>0</v>
      </c>
      <c r="C16" s="72" t="s">
        <v>279</v>
      </c>
      <c r="D16" s="72" t="s">
        <v>817</v>
      </c>
      <c r="E16" s="72" t="s">
        <v>2</v>
      </c>
      <c r="F16" s="72">
        <v>45687</v>
      </c>
      <c r="G16" s="85" t="s">
        <v>3</v>
      </c>
      <c r="H16" s="54">
        <v>0</v>
      </c>
      <c r="I16" s="54">
        <v>8</v>
      </c>
      <c r="J16" s="54">
        <v>8</v>
      </c>
      <c r="K16" s="54">
        <v>0</v>
      </c>
      <c r="L16" s="54">
        <v>16</v>
      </c>
      <c r="M16" s="71" t="s">
        <v>280</v>
      </c>
      <c r="N16" s="71" t="s">
        <v>11</v>
      </c>
      <c r="O16" s="71" t="s">
        <v>281</v>
      </c>
    </row>
    <row r="17" spans="1:15" s="29" customFormat="1" ht="60" x14ac:dyDescent="0.3">
      <c r="A17" s="26"/>
      <c r="B17" s="26" t="s">
        <v>6</v>
      </c>
      <c r="C17" s="26" t="s">
        <v>99</v>
      </c>
      <c r="D17" s="26" t="s">
        <v>817</v>
      </c>
      <c r="E17" s="26" t="s">
        <v>14</v>
      </c>
      <c r="F17" s="26">
        <v>45688</v>
      </c>
      <c r="G17" s="85" t="s">
        <v>3</v>
      </c>
      <c r="H17" s="27">
        <v>5</v>
      </c>
      <c r="I17" s="27">
        <v>0</v>
      </c>
      <c r="J17" s="27">
        <v>0</v>
      </c>
      <c r="K17" s="27">
        <v>180</v>
      </c>
      <c r="L17" s="27">
        <v>180</v>
      </c>
      <c r="M17" s="28" t="s">
        <v>47</v>
      </c>
      <c r="N17" s="9" t="s">
        <v>11</v>
      </c>
      <c r="O17" s="28" t="s">
        <v>98</v>
      </c>
    </row>
    <row r="18" spans="1:15" s="14" customFormat="1" ht="120" x14ac:dyDescent="0.3">
      <c r="A18" s="23"/>
      <c r="B18" s="23" t="s">
        <v>28</v>
      </c>
      <c r="C18" s="23" t="s">
        <v>86</v>
      </c>
      <c r="D18" s="23" t="s">
        <v>45</v>
      </c>
      <c r="E18" s="23" t="s">
        <v>2</v>
      </c>
      <c r="F18" s="23">
        <v>45695</v>
      </c>
      <c r="G18" s="85" t="s">
        <v>273</v>
      </c>
      <c r="H18" s="5">
        <v>0</v>
      </c>
      <c r="I18" s="5">
        <v>13</v>
      </c>
      <c r="J18" s="5">
        <v>15</v>
      </c>
      <c r="K18" s="5">
        <v>0</v>
      </c>
      <c r="L18" s="5">
        <v>28</v>
      </c>
      <c r="M18" s="85" t="s">
        <v>442</v>
      </c>
      <c r="N18" s="24" t="s">
        <v>16</v>
      </c>
      <c r="O18" s="24" t="s">
        <v>89</v>
      </c>
    </row>
    <row r="19" spans="1:15" s="29" customFormat="1" ht="118.5" customHeight="1" x14ac:dyDescent="0.3">
      <c r="A19" s="62"/>
      <c r="B19" s="62" t="s">
        <v>28</v>
      </c>
      <c r="C19" s="62" t="s">
        <v>251</v>
      </c>
      <c r="D19" s="62" t="s">
        <v>817</v>
      </c>
      <c r="E19" s="62" t="s">
        <v>2</v>
      </c>
      <c r="F19" s="64">
        <v>45695</v>
      </c>
      <c r="G19" s="85" t="s">
        <v>3</v>
      </c>
      <c r="H19" s="54">
        <v>0</v>
      </c>
      <c r="I19" s="54">
        <v>2</v>
      </c>
      <c r="J19" s="54">
        <v>14</v>
      </c>
      <c r="K19" s="54">
        <v>7</v>
      </c>
      <c r="L19" s="54">
        <v>16</v>
      </c>
      <c r="M19" s="65" t="s">
        <v>5</v>
      </c>
      <c r="N19" s="85" t="s">
        <v>11</v>
      </c>
      <c r="O19" s="63" t="s">
        <v>252</v>
      </c>
    </row>
    <row r="20" spans="1:15" s="29" customFormat="1" ht="132" x14ac:dyDescent="0.3">
      <c r="A20" s="26"/>
      <c r="B20" s="26" t="s">
        <v>6</v>
      </c>
      <c r="C20" s="26" t="s">
        <v>102</v>
      </c>
      <c r="D20" s="26" t="s">
        <v>817</v>
      </c>
      <c r="E20" s="26" t="s">
        <v>14</v>
      </c>
      <c r="F20" s="26">
        <v>45696</v>
      </c>
      <c r="G20" s="85" t="s">
        <v>3</v>
      </c>
      <c r="H20" s="27">
        <v>21</v>
      </c>
      <c r="I20" s="27">
        <v>0</v>
      </c>
      <c r="J20" s="27">
        <v>0</v>
      </c>
      <c r="K20" s="27">
        <v>0</v>
      </c>
      <c r="L20" s="27">
        <v>21</v>
      </c>
      <c r="M20" s="28" t="s">
        <v>44</v>
      </c>
      <c r="N20" s="28" t="s">
        <v>11</v>
      </c>
      <c r="O20" s="28" t="s">
        <v>103</v>
      </c>
    </row>
    <row r="21" spans="1:15" s="14" customFormat="1" ht="168" x14ac:dyDescent="0.3">
      <c r="A21" s="82"/>
      <c r="B21" s="82" t="s">
        <v>38</v>
      </c>
      <c r="C21" s="82" t="s">
        <v>87</v>
      </c>
      <c r="D21" s="82" t="s">
        <v>23</v>
      </c>
      <c r="E21" s="82" t="s">
        <v>2</v>
      </c>
      <c r="F21" s="82" t="s">
        <v>88</v>
      </c>
      <c r="G21" s="24" t="s">
        <v>531</v>
      </c>
      <c r="H21" s="83">
        <v>55</v>
      </c>
      <c r="I21" s="83">
        <v>5</v>
      </c>
      <c r="J21" s="83">
        <v>9</v>
      </c>
      <c r="K21" s="83">
        <v>0</v>
      </c>
      <c r="L21" s="83">
        <v>69</v>
      </c>
      <c r="M21" s="85" t="s">
        <v>442</v>
      </c>
      <c r="N21" s="24" t="s">
        <v>11</v>
      </c>
      <c r="O21" s="24" t="s">
        <v>90</v>
      </c>
    </row>
    <row r="22" spans="1:15" s="14" customFormat="1" ht="48" x14ac:dyDescent="0.3">
      <c r="A22" s="11"/>
      <c r="B22" s="11" t="s">
        <v>1</v>
      </c>
      <c r="C22" s="18" t="s">
        <v>77</v>
      </c>
      <c r="D22" s="11" t="s">
        <v>816</v>
      </c>
      <c r="E22" s="11" t="s">
        <v>14</v>
      </c>
      <c r="F22" s="11">
        <v>45697</v>
      </c>
      <c r="G22" s="9" t="s">
        <v>21</v>
      </c>
      <c r="H22" s="5">
        <v>1</v>
      </c>
      <c r="I22" s="5">
        <v>0</v>
      </c>
      <c r="J22" s="5">
        <v>16</v>
      </c>
      <c r="K22" s="5">
        <v>0</v>
      </c>
      <c r="L22" s="5">
        <v>17</v>
      </c>
      <c r="M22" s="85" t="s">
        <v>70</v>
      </c>
      <c r="N22" s="13" t="s">
        <v>11</v>
      </c>
      <c r="O22" s="13" t="s">
        <v>71</v>
      </c>
    </row>
    <row r="23" spans="1:15" s="14" customFormat="1" ht="48" x14ac:dyDescent="0.3">
      <c r="A23" s="82"/>
      <c r="B23" s="82" t="s">
        <v>0</v>
      </c>
      <c r="C23" s="18" t="s">
        <v>92</v>
      </c>
      <c r="D23" s="82" t="s">
        <v>816</v>
      </c>
      <c r="E23" s="82" t="s">
        <v>2</v>
      </c>
      <c r="F23" s="82" t="s">
        <v>91</v>
      </c>
      <c r="G23" s="85" t="s">
        <v>3</v>
      </c>
      <c r="H23" s="83">
        <v>0</v>
      </c>
      <c r="I23" s="83">
        <v>26</v>
      </c>
      <c r="J23" s="83">
        <v>29</v>
      </c>
      <c r="K23" s="83">
        <v>0</v>
      </c>
      <c r="L23" s="83">
        <v>55</v>
      </c>
      <c r="M23" s="25" t="s">
        <v>22</v>
      </c>
      <c r="N23" s="28" t="s">
        <v>11</v>
      </c>
      <c r="O23" s="25" t="s">
        <v>93</v>
      </c>
    </row>
    <row r="24" spans="1:15" s="29" customFormat="1" ht="152.25" customHeight="1" x14ac:dyDescent="0.3">
      <c r="A24" s="26"/>
      <c r="B24" s="26" t="s">
        <v>37</v>
      </c>
      <c r="C24" s="18" t="s">
        <v>94</v>
      </c>
      <c r="D24" s="26" t="s">
        <v>12</v>
      </c>
      <c r="E24" s="26" t="s">
        <v>2</v>
      </c>
      <c r="F24" s="26">
        <v>45700</v>
      </c>
      <c r="G24" s="28" t="s">
        <v>536</v>
      </c>
      <c r="H24" s="27">
        <v>0</v>
      </c>
      <c r="I24" s="27">
        <v>0</v>
      </c>
      <c r="J24" s="27">
        <v>3</v>
      </c>
      <c r="K24" s="27">
        <v>0</v>
      </c>
      <c r="L24" s="27">
        <f>SUM(H24:K24)</f>
        <v>3</v>
      </c>
      <c r="M24" s="28" t="s">
        <v>67</v>
      </c>
      <c r="N24" s="28" t="s">
        <v>16</v>
      </c>
      <c r="O24" s="28" t="s">
        <v>95</v>
      </c>
    </row>
    <row r="25" spans="1:15" s="29" customFormat="1" ht="96" x14ac:dyDescent="0.3">
      <c r="A25" s="26"/>
      <c r="B25" s="26" t="s">
        <v>0</v>
      </c>
      <c r="C25" s="18" t="s">
        <v>96</v>
      </c>
      <c r="D25" s="26" t="s">
        <v>12</v>
      </c>
      <c r="E25" s="26" t="s">
        <v>2</v>
      </c>
      <c r="F25" s="26">
        <v>45701</v>
      </c>
      <c r="G25" s="10" t="s">
        <v>392</v>
      </c>
      <c r="H25" s="27">
        <v>6</v>
      </c>
      <c r="I25" s="27">
        <v>5</v>
      </c>
      <c r="J25" s="27">
        <v>26</v>
      </c>
      <c r="K25" s="27">
        <v>0</v>
      </c>
      <c r="L25" s="27">
        <f>SUM(H25:K25)</f>
        <v>37</v>
      </c>
      <c r="M25" s="28" t="s">
        <v>4</v>
      </c>
      <c r="N25" s="28" t="s">
        <v>16</v>
      </c>
      <c r="O25" s="28" t="s">
        <v>97</v>
      </c>
    </row>
    <row r="26" spans="1:15" s="29" customFormat="1" ht="324" x14ac:dyDescent="0.3">
      <c r="A26" s="26"/>
      <c r="B26" s="26" t="s">
        <v>6</v>
      </c>
      <c r="C26" s="18" t="s">
        <v>100</v>
      </c>
      <c r="D26" s="26" t="s">
        <v>817</v>
      </c>
      <c r="E26" s="26" t="s">
        <v>2</v>
      </c>
      <c r="F26" s="26">
        <v>45701</v>
      </c>
      <c r="G26" s="85" t="s">
        <v>3</v>
      </c>
      <c r="H26" s="27">
        <v>13</v>
      </c>
      <c r="I26" s="27">
        <v>45</v>
      </c>
      <c r="J26" s="27">
        <v>125</v>
      </c>
      <c r="K26" s="27">
        <v>0</v>
      </c>
      <c r="L26" s="27">
        <v>183</v>
      </c>
      <c r="M26" s="28" t="s">
        <v>106</v>
      </c>
      <c r="N26" s="28" t="s">
        <v>11</v>
      </c>
      <c r="O26" s="28" t="s">
        <v>101</v>
      </c>
    </row>
    <row r="27" spans="1:15" s="29" customFormat="1" ht="60" x14ac:dyDescent="0.3">
      <c r="A27" s="68"/>
      <c r="B27" s="68" t="s">
        <v>6</v>
      </c>
      <c r="C27" s="18" t="s">
        <v>100</v>
      </c>
      <c r="D27" s="68" t="s">
        <v>817</v>
      </c>
      <c r="E27" s="68" t="s">
        <v>14</v>
      </c>
      <c r="F27" s="68">
        <v>45701</v>
      </c>
      <c r="G27" s="85" t="s">
        <v>3</v>
      </c>
      <c r="H27" s="54">
        <v>0</v>
      </c>
      <c r="I27" s="54">
        <v>0</v>
      </c>
      <c r="J27" s="54">
        <v>4</v>
      </c>
      <c r="K27" s="54">
        <v>0</v>
      </c>
      <c r="L27" s="54">
        <v>4</v>
      </c>
      <c r="M27" s="69" t="s">
        <v>259</v>
      </c>
      <c r="N27" s="69" t="s">
        <v>19</v>
      </c>
      <c r="O27" s="69" t="s">
        <v>260</v>
      </c>
    </row>
    <row r="28" spans="1:15" s="14" customFormat="1" ht="84" x14ac:dyDescent="0.3">
      <c r="A28" s="21"/>
      <c r="B28" s="21" t="s">
        <v>0</v>
      </c>
      <c r="C28" s="21" t="s">
        <v>253</v>
      </c>
      <c r="D28" s="21" t="s">
        <v>817</v>
      </c>
      <c r="E28" s="21" t="s">
        <v>2</v>
      </c>
      <c r="F28" s="21">
        <v>45702</v>
      </c>
      <c r="G28" s="85" t="s">
        <v>3</v>
      </c>
      <c r="H28" s="5">
        <v>0</v>
      </c>
      <c r="I28" s="5">
        <v>3</v>
      </c>
      <c r="J28" s="5">
        <v>16</v>
      </c>
      <c r="K28" s="5">
        <v>5</v>
      </c>
      <c r="L28" s="5">
        <v>19</v>
      </c>
      <c r="M28" s="22" t="s">
        <v>5</v>
      </c>
      <c r="N28" s="22" t="s">
        <v>11</v>
      </c>
      <c r="O28" s="22" t="s">
        <v>78</v>
      </c>
    </row>
    <row r="29" spans="1:15" s="14" customFormat="1" ht="36" x14ac:dyDescent="0.3">
      <c r="A29" s="11"/>
      <c r="B29" s="11" t="s">
        <v>1</v>
      </c>
      <c r="C29" s="18" t="s">
        <v>77</v>
      </c>
      <c r="D29" s="11" t="s">
        <v>816</v>
      </c>
      <c r="E29" s="11" t="s">
        <v>2</v>
      </c>
      <c r="F29" s="11">
        <v>45704</v>
      </c>
      <c r="G29" s="9" t="s">
        <v>21</v>
      </c>
      <c r="H29" s="5">
        <v>1</v>
      </c>
      <c r="I29" s="5">
        <v>0</v>
      </c>
      <c r="J29" s="5">
        <v>14</v>
      </c>
      <c r="K29" s="5">
        <v>0</v>
      </c>
      <c r="L29" s="5">
        <v>15</v>
      </c>
      <c r="M29" s="85" t="s">
        <v>70</v>
      </c>
      <c r="N29" s="13" t="s">
        <v>11</v>
      </c>
      <c r="O29" s="13" t="s">
        <v>72</v>
      </c>
    </row>
    <row r="30" spans="1:15" s="14" customFormat="1" ht="24" x14ac:dyDescent="0.3">
      <c r="A30" s="11"/>
      <c r="B30" s="11" t="s">
        <v>0</v>
      </c>
      <c r="C30" s="11" t="s">
        <v>79</v>
      </c>
      <c r="D30" s="11" t="s">
        <v>817</v>
      </c>
      <c r="E30" s="11" t="s">
        <v>2</v>
      </c>
      <c r="F30" s="11">
        <v>45705</v>
      </c>
      <c r="G30" s="85" t="s">
        <v>3</v>
      </c>
      <c r="H30" s="5">
        <v>0</v>
      </c>
      <c r="I30" s="5">
        <v>0</v>
      </c>
      <c r="J30" s="5">
        <v>11</v>
      </c>
      <c r="K30" s="5">
        <v>0</v>
      </c>
      <c r="L30" s="5">
        <v>11</v>
      </c>
      <c r="M30" s="13" t="s">
        <v>9</v>
      </c>
      <c r="N30" s="24" t="s">
        <v>11</v>
      </c>
      <c r="O30" s="13" t="s">
        <v>80</v>
      </c>
    </row>
    <row r="31" spans="1:15" s="29" customFormat="1" ht="108" x14ac:dyDescent="0.3">
      <c r="A31" s="82"/>
      <c r="B31" s="82" t="s">
        <v>6</v>
      </c>
      <c r="C31" s="82" t="s">
        <v>104</v>
      </c>
      <c r="D31" s="82" t="s">
        <v>12</v>
      </c>
      <c r="E31" s="82" t="s">
        <v>2</v>
      </c>
      <c r="F31" s="82" t="s">
        <v>105</v>
      </c>
      <c r="G31" s="28" t="s">
        <v>34</v>
      </c>
      <c r="H31" s="20"/>
      <c r="I31" s="20"/>
      <c r="J31" s="20"/>
      <c r="K31" s="20"/>
      <c r="L31" s="20">
        <v>120</v>
      </c>
      <c r="M31" s="28" t="s">
        <v>107</v>
      </c>
      <c r="N31" s="28" t="s">
        <v>11</v>
      </c>
      <c r="O31" s="28" t="s">
        <v>108</v>
      </c>
    </row>
    <row r="32" spans="1:15" s="14" customFormat="1" ht="36" x14ac:dyDescent="0.3">
      <c r="A32" s="11"/>
      <c r="B32" s="11" t="s">
        <v>74</v>
      </c>
      <c r="C32" s="11" t="s">
        <v>81</v>
      </c>
      <c r="D32" s="11" t="s">
        <v>816</v>
      </c>
      <c r="E32" s="11" t="s">
        <v>2</v>
      </c>
      <c r="F32" s="11">
        <v>45706</v>
      </c>
      <c r="G32" s="85" t="s">
        <v>3</v>
      </c>
      <c r="H32" s="5">
        <v>0</v>
      </c>
      <c r="I32" s="5">
        <v>4</v>
      </c>
      <c r="J32" s="5">
        <v>5</v>
      </c>
      <c r="K32" s="5">
        <v>0</v>
      </c>
      <c r="L32" s="5">
        <v>9</v>
      </c>
      <c r="M32" s="13" t="s">
        <v>82</v>
      </c>
      <c r="N32" s="24" t="s">
        <v>11</v>
      </c>
      <c r="O32" s="13" t="s">
        <v>83</v>
      </c>
    </row>
    <row r="33" spans="1:15" s="14" customFormat="1" ht="60" x14ac:dyDescent="0.3">
      <c r="A33" s="11"/>
      <c r="B33" s="11" t="s">
        <v>0</v>
      </c>
      <c r="C33" s="11" t="s">
        <v>75</v>
      </c>
      <c r="D33" s="11" t="s">
        <v>817</v>
      </c>
      <c r="E33" s="11" t="s">
        <v>2</v>
      </c>
      <c r="F33" s="11">
        <v>45706</v>
      </c>
      <c r="G33" s="85" t="s">
        <v>3</v>
      </c>
      <c r="H33" s="5">
        <v>3</v>
      </c>
      <c r="I33" s="5">
        <v>4</v>
      </c>
      <c r="J33" s="5">
        <v>16</v>
      </c>
      <c r="K33" s="5">
        <v>1</v>
      </c>
      <c r="L33" s="5">
        <v>24</v>
      </c>
      <c r="M33" s="13" t="s">
        <v>825</v>
      </c>
      <c r="N33" s="24" t="s">
        <v>11</v>
      </c>
      <c r="O33" s="13" t="s">
        <v>84</v>
      </c>
    </row>
    <row r="34" spans="1:15" s="29" customFormat="1" ht="36" x14ac:dyDescent="0.3">
      <c r="A34" s="26"/>
      <c r="B34" s="26" t="s">
        <v>0</v>
      </c>
      <c r="C34" s="26" t="s">
        <v>145</v>
      </c>
      <c r="D34" s="26" t="s">
        <v>817</v>
      </c>
      <c r="E34" s="26" t="s">
        <v>2</v>
      </c>
      <c r="F34" s="26">
        <v>45706</v>
      </c>
      <c r="G34" s="85" t="s">
        <v>3</v>
      </c>
      <c r="H34" s="27">
        <v>0</v>
      </c>
      <c r="I34" s="27">
        <v>6</v>
      </c>
      <c r="J34" s="27">
        <v>14</v>
      </c>
      <c r="K34" s="27">
        <v>0</v>
      </c>
      <c r="L34" s="27">
        <v>20</v>
      </c>
      <c r="M34" s="30" t="s">
        <v>144</v>
      </c>
      <c r="N34" s="30" t="s">
        <v>11</v>
      </c>
      <c r="O34" s="30" t="s">
        <v>146</v>
      </c>
    </row>
    <row r="35" spans="1:15" s="14" customFormat="1" ht="60" x14ac:dyDescent="0.3">
      <c r="A35" s="11"/>
      <c r="B35" s="11" t="s">
        <v>0</v>
      </c>
      <c r="C35" s="11" t="s">
        <v>76</v>
      </c>
      <c r="D35" s="11" t="s">
        <v>817</v>
      </c>
      <c r="E35" s="11" t="s">
        <v>2</v>
      </c>
      <c r="F35" s="11">
        <v>45707</v>
      </c>
      <c r="G35" s="85" t="s">
        <v>3</v>
      </c>
      <c r="H35" s="5">
        <v>0</v>
      </c>
      <c r="I35" s="5">
        <v>4</v>
      </c>
      <c r="J35" s="5">
        <v>10</v>
      </c>
      <c r="K35" s="5">
        <v>0</v>
      </c>
      <c r="L35" s="5">
        <v>14</v>
      </c>
      <c r="M35" s="13" t="s">
        <v>9</v>
      </c>
      <c r="N35" s="24" t="s">
        <v>11</v>
      </c>
      <c r="O35" s="13" t="s">
        <v>85</v>
      </c>
    </row>
    <row r="36" spans="1:15" s="29" customFormat="1" ht="24" x14ac:dyDescent="0.3">
      <c r="A36" s="26"/>
      <c r="B36" s="26" t="s">
        <v>0</v>
      </c>
      <c r="C36" s="26" t="s">
        <v>129</v>
      </c>
      <c r="D36" s="26" t="s">
        <v>817</v>
      </c>
      <c r="E36" s="26" t="s">
        <v>2</v>
      </c>
      <c r="F36" s="26">
        <v>45708</v>
      </c>
      <c r="G36" s="85" t="s">
        <v>3</v>
      </c>
      <c r="H36" s="27">
        <v>0</v>
      </c>
      <c r="I36" s="27">
        <v>6</v>
      </c>
      <c r="J36" s="27">
        <v>8</v>
      </c>
      <c r="K36" s="27">
        <v>1</v>
      </c>
      <c r="L36" s="27">
        <v>14</v>
      </c>
      <c r="M36" s="30" t="s">
        <v>9</v>
      </c>
      <c r="N36" s="30" t="s">
        <v>11</v>
      </c>
      <c r="O36" s="30" t="s">
        <v>130</v>
      </c>
    </row>
    <row r="37" spans="1:15" s="29" customFormat="1" ht="72" x14ac:dyDescent="0.3">
      <c r="A37" s="33"/>
      <c r="B37" s="33" t="s">
        <v>36</v>
      </c>
      <c r="C37" s="33" t="s">
        <v>206</v>
      </c>
      <c r="D37" s="33" t="s">
        <v>817</v>
      </c>
      <c r="E37" s="33" t="s">
        <v>14</v>
      </c>
      <c r="F37" s="33">
        <v>45708</v>
      </c>
      <c r="G37" s="85" t="s">
        <v>3</v>
      </c>
      <c r="H37" s="34">
        <v>3</v>
      </c>
      <c r="I37" s="34">
        <v>0</v>
      </c>
      <c r="J37" s="34">
        <v>95</v>
      </c>
      <c r="K37" s="34">
        <v>0</v>
      </c>
      <c r="L37" s="34">
        <v>98</v>
      </c>
      <c r="M37" s="35" t="s">
        <v>207</v>
      </c>
      <c r="N37" s="35" t="s">
        <v>11</v>
      </c>
      <c r="O37" s="35" t="s">
        <v>209</v>
      </c>
    </row>
    <row r="38" spans="1:15" s="14" customFormat="1" ht="108" x14ac:dyDescent="0.3">
      <c r="A38" s="11"/>
      <c r="B38" s="11" t="s">
        <v>6</v>
      </c>
      <c r="C38" s="11" t="s">
        <v>109</v>
      </c>
      <c r="D38" s="11" t="s">
        <v>817</v>
      </c>
      <c r="E38" s="11" t="s">
        <v>2</v>
      </c>
      <c r="F38" s="11">
        <v>45709</v>
      </c>
      <c r="G38" s="85" t="s">
        <v>3</v>
      </c>
      <c r="H38" s="5">
        <v>30</v>
      </c>
      <c r="I38" s="5">
        <v>0</v>
      </c>
      <c r="J38" s="5">
        <v>180</v>
      </c>
      <c r="K38" s="5">
        <v>30</v>
      </c>
      <c r="L38" s="5">
        <v>240</v>
      </c>
      <c r="M38" s="13" t="s">
        <v>4</v>
      </c>
      <c r="N38" s="13" t="s">
        <v>11</v>
      </c>
      <c r="O38" s="13" t="s">
        <v>112</v>
      </c>
    </row>
    <row r="39" spans="1:15" s="14" customFormat="1" ht="120" customHeight="1" x14ac:dyDescent="0.3">
      <c r="A39" s="11"/>
      <c r="B39" s="11" t="s">
        <v>6</v>
      </c>
      <c r="C39" s="11" t="s">
        <v>111</v>
      </c>
      <c r="D39" s="11" t="s">
        <v>817</v>
      </c>
      <c r="E39" s="11" t="s">
        <v>2</v>
      </c>
      <c r="F39" s="11">
        <v>45709</v>
      </c>
      <c r="G39" s="85" t="s">
        <v>3</v>
      </c>
      <c r="H39" s="5">
        <v>20</v>
      </c>
      <c r="I39" s="5">
        <v>0</v>
      </c>
      <c r="J39" s="5">
        <v>160</v>
      </c>
      <c r="K39" s="5">
        <v>30</v>
      </c>
      <c r="L39" s="5">
        <v>210</v>
      </c>
      <c r="M39" s="30" t="s">
        <v>4</v>
      </c>
      <c r="N39" s="13" t="s">
        <v>11</v>
      </c>
      <c r="O39" s="13" t="s">
        <v>113</v>
      </c>
    </row>
    <row r="40" spans="1:15" s="14" customFormat="1" ht="84" x14ac:dyDescent="0.3">
      <c r="A40" s="11"/>
      <c r="B40" s="11" t="s">
        <v>6</v>
      </c>
      <c r="C40" s="11" t="s">
        <v>114</v>
      </c>
      <c r="D40" s="11" t="s">
        <v>817</v>
      </c>
      <c r="E40" s="11" t="s">
        <v>2</v>
      </c>
      <c r="F40" s="11">
        <v>45709</v>
      </c>
      <c r="G40" s="85" t="s">
        <v>3</v>
      </c>
      <c r="H40" s="5">
        <v>20</v>
      </c>
      <c r="I40" s="5">
        <v>0</v>
      </c>
      <c r="J40" s="5">
        <v>160</v>
      </c>
      <c r="K40" s="5">
        <v>30</v>
      </c>
      <c r="L40" s="5">
        <v>210</v>
      </c>
      <c r="M40" s="30" t="s">
        <v>4</v>
      </c>
      <c r="N40" s="13" t="s">
        <v>11</v>
      </c>
      <c r="O40" s="13" t="s">
        <v>115</v>
      </c>
    </row>
    <row r="41" spans="1:15" s="29" customFormat="1" ht="61.5" customHeight="1" x14ac:dyDescent="0.3">
      <c r="A41" s="26"/>
      <c r="B41" s="26" t="s">
        <v>122</v>
      </c>
      <c r="C41" s="26" t="s">
        <v>124</v>
      </c>
      <c r="D41" s="26" t="s">
        <v>816</v>
      </c>
      <c r="E41" s="26" t="s">
        <v>2</v>
      </c>
      <c r="F41" s="26">
        <v>45709</v>
      </c>
      <c r="G41" s="85" t="s">
        <v>3</v>
      </c>
      <c r="H41" s="27">
        <v>0</v>
      </c>
      <c r="I41" s="27">
        <v>0</v>
      </c>
      <c r="J41" s="27">
        <v>11</v>
      </c>
      <c r="K41" s="27">
        <v>0</v>
      </c>
      <c r="L41" s="27">
        <v>11</v>
      </c>
      <c r="M41" s="30" t="s">
        <v>123</v>
      </c>
      <c r="N41" s="30" t="s">
        <v>11</v>
      </c>
      <c r="O41" s="30" t="s">
        <v>125</v>
      </c>
    </row>
    <row r="42" spans="1:15" s="29" customFormat="1" ht="61.5" customHeight="1" x14ac:dyDescent="0.3">
      <c r="A42" s="26"/>
      <c r="B42" s="26" t="s">
        <v>0</v>
      </c>
      <c r="C42" s="26" t="s">
        <v>131</v>
      </c>
      <c r="D42" s="26" t="s">
        <v>817</v>
      </c>
      <c r="E42" s="26" t="s">
        <v>2</v>
      </c>
      <c r="F42" s="26">
        <v>45709</v>
      </c>
      <c r="G42" s="85" t="s">
        <v>3</v>
      </c>
      <c r="H42" s="27">
        <v>0</v>
      </c>
      <c r="I42" s="27">
        <v>3</v>
      </c>
      <c r="J42" s="27">
        <v>5</v>
      </c>
      <c r="K42" s="27">
        <v>0</v>
      </c>
      <c r="L42" s="27">
        <v>8</v>
      </c>
      <c r="M42" s="30" t="s">
        <v>9</v>
      </c>
      <c r="N42" s="30" t="s">
        <v>11</v>
      </c>
      <c r="O42" s="30" t="s">
        <v>132</v>
      </c>
    </row>
    <row r="43" spans="1:15" s="29" customFormat="1" ht="96" x14ac:dyDescent="0.3">
      <c r="A43" s="64"/>
      <c r="B43" s="64" t="s">
        <v>28</v>
      </c>
      <c r="C43" s="64" t="s">
        <v>254</v>
      </c>
      <c r="D43" s="64" t="s">
        <v>817</v>
      </c>
      <c r="E43" s="64" t="s">
        <v>2</v>
      </c>
      <c r="F43" s="66">
        <v>45709</v>
      </c>
      <c r="G43" s="85" t="s">
        <v>3</v>
      </c>
      <c r="H43" s="54">
        <v>0</v>
      </c>
      <c r="I43" s="54">
        <v>2</v>
      </c>
      <c r="J43" s="54">
        <v>11</v>
      </c>
      <c r="K43" s="54">
        <v>1</v>
      </c>
      <c r="L43" s="54">
        <v>13</v>
      </c>
      <c r="M43" s="65" t="s">
        <v>5</v>
      </c>
      <c r="N43" s="65" t="s">
        <v>11</v>
      </c>
      <c r="O43" s="65" t="s">
        <v>255</v>
      </c>
    </row>
    <row r="44" spans="1:15" s="29" customFormat="1" ht="226.5" customHeight="1" x14ac:dyDescent="0.3">
      <c r="A44" s="26"/>
      <c r="B44" s="26" t="s">
        <v>6</v>
      </c>
      <c r="C44" s="82" t="s">
        <v>119</v>
      </c>
      <c r="D44" s="11" t="s">
        <v>23</v>
      </c>
      <c r="E44" s="26" t="s">
        <v>2</v>
      </c>
      <c r="F44" s="26">
        <v>45710</v>
      </c>
      <c r="G44" s="85" t="s">
        <v>120</v>
      </c>
      <c r="H44" s="5">
        <v>0</v>
      </c>
      <c r="I44" s="5">
        <v>0</v>
      </c>
      <c r="J44" s="5">
        <v>7</v>
      </c>
      <c r="K44" s="5">
        <v>0</v>
      </c>
      <c r="L44" s="5">
        <f>SUM(H44:K44)</f>
        <v>7</v>
      </c>
      <c r="M44" s="13" t="s">
        <v>67</v>
      </c>
      <c r="N44" s="13" t="s">
        <v>19</v>
      </c>
      <c r="O44" s="13" t="s">
        <v>118</v>
      </c>
    </row>
    <row r="45" spans="1:15" s="29" customFormat="1" ht="36" x14ac:dyDescent="0.3">
      <c r="A45" s="26"/>
      <c r="B45" s="26" t="s">
        <v>32</v>
      </c>
      <c r="C45" s="18" t="s">
        <v>77</v>
      </c>
      <c r="D45" s="26" t="s">
        <v>817</v>
      </c>
      <c r="E45" s="26" t="s">
        <v>2</v>
      </c>
      <c r="F45" s="26">
        <v>45711</v>
      </c>
      <c r="G45" s="9" t="s">
        <v>21</v>
      </c>
      <c r="H45" s="27">
        <v>1</v>
      </c>
      <c r="I45" s="27">
        <v>0</v>
      </c>
      <c r="J45" s="27">
        <v>15</v>
      </c>
      <c r="K45" s="27">
        <v>0</v>
      </c>
      <c r="L45" s="27">
        <v>16</v>
      </c>
      <c r="M45" s="85" t="s">
        <v>70</v>
      </c>
      <c r="N45" s="30" t="s">
        <v>11</v>
      </c>
      <c r="O45" s="30" t="s">
        <v>69</v>
      </c>
    </row>
    <row r="46" spans="1:15" s="14" customFormat="1" ht="260.25" customHeight="1" x14ac:dyDescent="0.3">
      <c r="A46" s="82"/>
      <c r="B46" s="11" t="s">
        <v>20</v>
      </c>
      <c r="C46" s="11" t="s">
        <v>116</v>
      </c>
      <c r="D46" s="11" t="s">
        <v>12</v>
      </c>
      <c r="E46" s="26" t="s">
        <v>2</v>
      </c>
      <c r="F46" s="11">
        <v>45712</v>
      </c>
      <c r="G46" s="85" t="s">
        <v>3</v>
      </c>
      <c r="H46" s="5">
        <v>5</v>
      </c>
      <c r="I46" s="5">
        <v>6</v>
      </c>
      <c r="J46" s="5">
        <v>76</v>
      </c>
      <c r="K46" s="5">
        <v>0</v>
      </c>
      <c r="L46" s="5">
        <f>SUM(H46:K46)</f>
        <v>87</v>
      </c>
      <c r="M46" s="30" t="s">
        <v>4</v>
      </c>
      <c r="N46" s="30" t="s">
        <v>11</v>
      </c>
      <c r="O46" s="13" t="s">
        <v>117</v>
      </c>
    </row>
    <row r="47" spans="1:15" s="29" customFormat="1" ht="60" x14ac:dyDescent="0.3">
      <c r="A47" s="31"/>
      <c r="B47" s="26" t="s">
        <v>0</v>
      </c>
      <c r="C47" s="26" t="s">
        <v>133</v>
      </c>
      <c r="D47" s="26" t="s">
        <v>817</v>
      </c>
      <c r="E47" s="26" t="s">
        <v>2</v>
      </c>
      <c r="F47" s="26">
        <v>45713</v>
      </c>
      <c r="G47" s="85" t="s">
        <v>3</v>
      </c>
      <c r="H47" s="83">
        <v>4</v>
      </c>
      <c r="I47" s="27">
        <v>2</v>
      </c>
      <c r="J47" s="27">
        <v>35</v>
      </c>
      <c r="K47" s="27">
        <v>1</v>
      </c>
      <c r="L47" s="27">
        <v>41</v>
      </c>
      <c r="M47" s="85" t="s">
        <v>9</v>
      </c>
      <c r="N47" s="30" t="s">
        <v>11</v>
      </c>
      <c r="O47" s="30" t="s">
        <v>134</v>
      </c>
    </row>
    <row r="48" spans="1:15" s="29" customFormat="1" ht="144" x14ac:dyDescent="0.3">
      <c r="A48" s="31"/>
      <c r="B48" s="82" t="s">
        <v>122</v>
      </c>
      <c r="C48" s="82" t="s">
        <v>137</v>
      </c>
      <c r="D48" s="82" t="s">
        <v>817</v>
      </c>
      <c r="E48" s="82" t="s">
        <v>2</v>
      </c>
      <c r="F48" s="26">
        <v>45713</v>
      </c>
      <c r="G48" s="85" t="s">
        <v>3</v>
      </c>
      <c r="H48" s="85">
        <v>11</v>
      </c>
      <c r="I48" s="27">
        <v>0</v>
      </c>
      <c r="J48" s="27">
        <v>16</v>
      </c>
      <c r="K48" s="27">
        <v>0</v>
      </c>
      <c r="L48" s="27">
        <v>30</v>
      </c>
      <c r="M48" s="83" t="s">
        <v>141</v>
      </c>
      <c r="N48" s="30" t="s">
        <v>11</v>
      </c>
      <c r="O48" s="30" t="s">
        <v>142</v>
      </c>
    </row>
    <row r="49" spans="1:15" s="29" customFormat="1" ht="24" x14ac:dyDescent="0.3">
      <c r="A49" s="31"/>
      <c r="B49" s="82" t="s">
        <v>138</v>
      </c>
      <c r="C49" s="82" t="s">
        <v>139</v>
      </c>
      <c r="D49" s="82" t="s">
        <v>817</v>
      </c>
      <c r="E49" s="82" t="s">
        <v>2</v>
      </c>
      <c r="F49" s="82" t="s">
        <v>140</v>
      </c>
      <c r="G49" s="85" t="s">
        <v>3</v>
      </c>
      <c r="H49" s="85">
        <v>0</v>
      </c>
      <c r="I49" s="83">
        <v>16</v>
      </c>
      <c r="J49" s="83">
        <v>18</v>
      </c>
      <c r="K49" s="83">
        <v>0</v>
      </c>
      <c r="L49" s="83">
        <v>34</v>
      </c>
      <c r="M49" s="83" t="s">
        <v>22</v>
      </c>
      <c r="N49" s="30" t="s">
        <v>11</v>
      </c>
      <c r="O49" s="30" t="s">
        <v>143</v>
      </c>
    </row>
    <row r="50" spans="1:15" s="14" customFormat="1" ht="48" x14ac:dyDescent="0.3">
      <c r="A50" s="31"/>
      <c r="B50" s="31" t="s">
        <v>0</v>
      </c>
      <c r="C50" s="31" t="s">
        <v>150</v>
      </c>
      <c r="D50" s="31" t="s">
        <v>816</v>
      </c>
      <c r="E50" s="31" t="s">
        <v>2</v>
      </c>
      <c r="F50" s="26">
        <v>45714</v>
      </c>
      <c r="G50" s="85" t="s">
        <v>3</v>
      </c>
      <c r="H50" s="83">
        <v>0</v>
      </c>
      <c r="I50" s="27">
        <v>3</v>
      </c>
      <c r="J50" s="27">
        <v>35</v>
      </c>
      <c r="K50" s="27">
        <v>0</v>
      </c>
      <c r="L50" s="27">
        <v>38</v>
      </c>
      <c r="M50" s="85" t="s">
        <v>25</v>
      </c>
      <c r="N50" s="30" t="s">
        <v>11</v>
      </c>
      <c r="O50" s="85" t="s">
        <v>127</v>
      </c>
    </row>
    <row r="51" spans="1:15" s="14" customFormat="1" ht="24" x14ac:dyDescent="0.3">
      <c r="A51" s="82"/>
      <c r="B51" s="31" t="s">
        <v>0</v>
      </c>
      <c r="C51" s="11" t="s">
        <v>121</v>
      </c>
      <c r="D51" s="11" t="s">
        <v>816</v>
      </c>
      <c r="E51" s="11" t="s">
        <v>2</v>
      </c>
      <c r="F51" s="11">
        <v>45714</v>
      </c>
      <c r="G51" s="85" t="s">
        <v>3</v>
      </c>
      <c r="H51" s="83">
        <v>0</v>
      </c>
      <c r="I51" s="5">
        <v>0</v>
      </c>
      <c r="J51" s="5">
        <v>14</v>
      </c>
      <c r="K51" s="5">
        <v>0</v>
      </c>
      <c r="L51" s="5">
        <v>14</v>
      </c>
      <c r="M51" s="85" t="s">
        <v>126</v>
      </c>
      <c r="N51" s="30" t="s">
        <v>11</v>
      </c>
      <c r="O51" s="85" t="s">
        <v>128</v>
      </c>
    </row>
    <row r="52" spans="1:15" s="29" customFormat="1" ht="36" x14ac:dyDescent="0.3">
      <c r="A52" s="82"/>
      <c r="B52" s="82" t="s">
        <v>0</v>
      </c>
      <c r="C52" s="82" t="s">
        <v>135</v>
      </c>
      <c r="D52" s="82" t="s">
        <v>817</v>
      </c>
      <c r="E52" s="82" t="s">
        <v>2</v>
      </c>
      <c r="F52" s="82">
        <v>45714</v>
      </c>
      <c r="G52" s="85" t="s">
        <v>3</v>
      </c>
      <c r="H52" s="27">
        <v>0</v>
      </c>
      <c r="I52" s="27">
        <v>6</v>
      </c>
      <c r="J52" s="27">
        <v>5</v>
      </c>
      <c r="K52" s="27">
        <v>0</v>
      </c>
      <c r="L52" s="27">
        <v>11</v>
      </c>
      <c r="M52" s="28" t="s">
        <v>9</v>
      </c>
      <c r="N52" s="30" t="s">
        <v>11</v>
      </c>
      <c r="O52" s="81" t="s">
        <v>136</v>
      </c>
    </row>
    <row r="53" spans="1:15" s="29" customFormat="1" ht="72" x14ac:dyDescent="0.3">
      <c r="A53" s="33"/>
      <c r="B53" s="82" t="s">
        <v>36</v>
      </c>
      <c r="C53" s="33" t="s">
        <v>210</v>
      </c>
      <c r="D53" s="33" t="s">
        <v>817</v>
      </c>
      <c r="E53" s="33" t="s">
        <v>14</v>
      </c>
      <c r="F53" s="33">
        <v>45715</v>
      </c>
      <c r="G53" s="85" t="s">
        <v>3</v>
      </c>
      <c r="H53" s="34">
        <v>3</v>
      </c>
      <c r="I53" s="34">
        <v>0</v>
      </c>
      <c r="J53" s="34">
        <v>114</v>
      </c>
      <c r="K53" s="34">
        <v>0</v>
      </c>
      <c r="L53" s="34">
        <v>117</v>
      </c>
      <c r="M53" s="35" t="s">
        <v>207</v>
      </c>
      <c r="N53" s="35" t="s">
        <v>11</v>
      </c>
      <c r="O53" s="81" t="s">
        <v>208</v>
      </c>
    </row>
    <row r="54" spans="1:15" s="29" customFormat="1" ht="36" x14ac:dyDescent="0.3">
      <c r="A54" s="26"/>
      <c r="B54" s="26" t="s">
        <v>0</v>
      </c>
      <c r="C54" s="26" t="s">
        <v>147</v>
      </c>
      <c r="D54" s="26" t="s">
        <v>817</v>
      </c>
      <c r="E54" s="31" t="s">
        <v>2</v>
      </c>
      <c r="F54" s="31">
        <v>45715</v>
      </c>
      <c r="G54" s="85" t="s">
        <v>3</v>
      </c>
      <c r="H54" s="27">
        <v>0</v>
      </c>
      <c r="I54" s="27">
        <v>5</v>
      </c>
      <c r="J54" s="27">
        <v>8</v>
      </c>
      <c r="K54" s="27">
        <v>0</v>
      </c>
      <c r="L54" s="27">
        <v>13</v>
      </c>
      <c r="M54" s="28" t="s">
        <v>144</v>
      </c>
      <c r="N54" s="30" t="s">
        <v>11</v>
      </c>
      <c r="O54" s="28" t="s">
        <v>149</v>
      </c>
    </row>
    <row r="55" spans="1:15" s="29" customFormat="1" ht="24" x14ac:dyDescent="0.3">
      <c r="A55" s="26"/>
      <c r="B55" s="26" t="s">
        <v>0</v>
      </c>
      <c r="C55" s="26" t="s">
        <v>148</v>
      </c>
      <c r="D55" s="26" t="s">
        <v>817</v>
      </c>
      <c r="E55" s="26" t="s">
        <v>2</v>
      </c>
      <c r="F55" s="26">
        <v>45715</v>
      </c>
      <c r="G55" s="85" t="s">
        <v>3</v>
      </c>
      <c r="H55" s="27">
        <v>0</v>
      </c>
      <c r="I55" s="27">
        <v>5</v>
      </c>
      <c r="J55" s="27">
        <v>8</v>
      </c>
      <c r="K55" s="27">
        <v>0</v>
      </c>
      <c r="L55" s="27">
        <v>13</v>
      </c>
      <c r="M55" s="28" t="s">
        <v>144</v>
      </c>
      <c r="N55" s="30" t="s">
        <v>11</v>
      </c>
      <c r="O55" s="28" t="s">
        <v>151</v>
      </c>
    </row>
    <row r="56" spans="1:15" s="29" customFormat="1" ht="248.25" customHeight="1" x14ac:dyDescent="0.3">
      <c r="A56" s="33"/>
      <c r="B56" s="33" t="s">
        <v>20</v>
      </c>
      <c r="C56" s="33" t="s">
        <v>186</v>
      </c>
      <c r="D56" s="33" t="s">
        <v>817</v>
      </c>
      <c r="E56" s="82" t="s">
        <v>2</v>
      </c>
      <c r="F56" s="82">
        <v>45715</v>
      </c>
      <c r="G56" s="85" t="s">
        <v>3</v>
      </c>
      <c r="H56" s="34">
        <v>28</v>
      </c>
      <c r="I56" s="34">
        <v>39</v>
      </c>
      <c r="J56" s="34">
        <v>117</v>
      </c>
      <c r="K56" s="34">
        <v>5</v>
      </c>
      <c r="L56" s="34">
        <v>189</v>
      </c>
      <c r="M56" s="35" t="s">
        <v>44</v>
      </c>
      <c r="N56" s="35" t="s">
        <v>11</v>
      </c>
      <c r="O56" s="35" t="s">
        <v>187</v>
      </c>
    </row>
    <row r="57" spans="1:15" s="29" customFormat="1" ht="324" x14ac:dyDescent="0.3">
      <c r="A57" s="33"/>
      <c r="B57" s="33" t="s">
        <v>0</v>
      </c>
      <c r="C57" s="33" t="s">
        <v>167</v>
      </c>
      <c r="D57" s="33" t="s">
        <v>817</v>
      </c>
      <c r="E57" s="33" t="s">
        <v>2</v>
      </c>
      <c r="F57" s="33">
        <v>45716</v>
      </c>
      <c r="G57" s="85" t="s">
        <v>3</v>
      </c>
      <c r="H57" s="34">
        <v>45</v>
      </c>
      <c r="I57" s="34">
        <v>50</v>
      </c>
      <c r="J57" s="34">
        <v>379</v>
      </c>
      <c r="K57" s="34">
        <v>27</v>
      </c>
      <c r="L57" s="34">
        <f>SUM(H57:K57)</f>
        <v>501</v>
      </c>
      <c r="M57" s="35" t="s">
        <v>4</v>
      </c>
      <c r="N57" s="35" t="s">
        <v>11</v>
      </c>
      <c r="O57" s="35" t="s">
        <v>168</v>
      </c>
    </row>
    <row r="58" spans="1:15" s="29" customFormat="1" ht="36" x14ac:dyDescent="0.3">
      <c r="A58" s="68"/>
      <c r="B58" s="68" t="s">
        <v>0</v>
      </c>
      <c r="C58" s="68" t="s">
        <v>167</v>
      </c>
      <c r="D58" s="68" t="s">
        <v>817</v>
      </c>
      <c r="E58" s="68" t="s">
        <v>14</v>
      </c>
      <c r="F58" s="68">
        <v>45716</v>
      </c>
      <c r="G58" s="69" t="s">
        <v>46</v>
      </c>
      <c r="H58" s="54">
        <v>0</v>
      </c>
      <c r="I58" s="54">
        <v>5</v>
      </c>
      <c r="J58" s="54">
        <v>5</v>
      </c>
      <c r="K58" s="54">
        <v>0</v>
      </c>
      <c r="L58" s="54">
        <v>10</v>
      </c>
      <c r="M58" s="69" t="s">
        <v>259</v>
      </c>
      <c r="N58" s="69" t="s">
        <v>19</v>
      </c>
      <c r="O58" s="69" t="s">
        <v>260</v>
      </c>
    </row>
    <row r="59" spans="1:15" s="29" customFormat="1" ht="99.75" customHeight="1" x14ac:dyDescent="0.3">
      <c r="A59" s="33"/>
      <c r="B59" s="33" t="s">
        <v>6</v>
      </c>
      <c r="C59" s="33" t="s">
        <v>169</v>
      </c>
      <c r="D59" s="33" t="s">
        <v>12</v>
      </c>
      <c r="E59" s="33" t="s">
        <v>2</v>
      </c>
      <c r="F59" s="33">
        <v>45717</v>
      </c>
      <c r="G59" s="4" t="s">
        <v>29</v>
      </c>
      <c r="H59" s="34">
        <v>3</v>
      </c>
      <c r="I59" s="34">
        <v>19</v>
      </c>
      <c r="J59" s="34">
        <v>47</v>
      </c>
      <c r="K59" s="34">
        <v>0</v>
      </c>
      <c r="L59" s="34">
        <f>SUM(H59:K59)</f>
        <v>69</v>
      </c>
      <c r="M59" s="35" t="s">
        <v>170</v>
      </c>
      <c r="N59" s="35" t="s">
        <v>16</v>
      </c>
      <c r="O59" s="35" t="s">
        <v>171</v>
      </c>
    </row>
    <row r="60" spans="1:15" s="29" customFormat="1" ht="204" x14ac:dyDescent="0.3">
      <c r="A60" s="33"/>
      <c r="B60" s="33" t="s">
        <v>0</v>
      </c>
      <c r="C60" s="33" t="s">
        <v>177</v>
      </c>
      <c r="D60" s="33" t="s">
        <v>817</v>
      </c>
      <c r="E60" s="33" t="s">
        <v>2</v>
      </c>
      <c r="F60" s="33">
        <v>45719</v>
      </c>
      <c r="G60" s="35" t="s">
        <v>46</v>
      </c>
      <c r="H60" s="34">
        <v>2</v>
      </c>
      <c r="I60" s="34">
        <v>0</v>
      </c>
      <c r="J60" s="34">
        <v>6</v>
      </c>
      <c r="K60" s="34">
        <v>11</v>
      </c>
      <c r="L60" s="34">
        <f>SUM(H60:K60)</f>
        <v>19</v>
      </c>
      <c r="M60" s="35" t="s">
        <v>178</v>
      </c>
      <c r="N60" s="35" t="s">
        <v>11</v>
      </c>
      <c r="O60" s="35" t="s">
        <v>179</v>
      </c>
    </row>
    <row r="61" spans="1:15" s="29" customFormat="1" ht="36" x14ac:dyDescent="0.3">
      <c r="A61" s="51"/>
      <c r="B61" s="51" t="s">
        <v>0</v>
      </c>
      <c r="C61" s="51" t="s">
        <v>241</v>
      </c>
      <c r="D61" s="51" t="s">
        <v>817</v>
      </c>
      <c r="E61" s="51" t="s">
        <v>2</v>
      </c>
      <c r="F61" s="51">
        <v>45720</v>
      </c>
      <c r="G61" s="85" t="s">
        <v>3</v>
      </c>
      <c r="H61" s="34">
        <v>0</v>
      </c>
      <c r="I61" s="34">
        <v>0</v>
      </c>
      <c r="J61" s="34">
        <v>0</v>
      </c>
      <c r="K61" s="34">
        <v>0</v>
      </c>
      <c r="L61" s="34">
        <v>38</v>
      </c>
      <c r="M61" s="50" t="s">
        <v>240</v>
      </c>
      <c r="N61" s="52" t="s">
        <v>11</v>
      </c>
      <c r="O61" s="50" t="s">
        <v>242</v>
      </c>
    </row>
    <row r="62" spans="1:15" s="29" customFormat="1" ht="84" x14ac:dyDescent="0.3">
      <c r="A62" s="33"/>
      <c r="B62" s="33" t="s">
        <v>37</v>
      </c>
      <c r="C62" s="33" t="s">
        <v>197</v>
      </c>
      <c r="D62" s="33" t="s">
        <v>817</v>
      </c>
      <c r="E62" s="33" t="s">
        <v>2</v>
      </c>
      <c r="F62" s="33">
        <v>45720</v>
      </c>
      <c r="G62" s="85" t="s">
        <v>3</v>
      </c>
      <c r="H62" s="34">
        <v>6</v>
      </c>
      <c r="I62" s="34">
        <v>28</v>
      </c>
      <c r="J62" s="34">
        <v>46</v>
      </c>
      <c r="K62" s="34">
        <v>0</v>
      </c>
      <c r="L62" s="34">
        <f>SUM(H62:K62)</f>
        <v>80</v>
      </c>
      <c r="M62" s="35" t="s">
        <v>4</v>
      </c>
      <c r="N62" s="35" t="s">
        <v>11</v>
      </c>
      <c r="O62" s="35" t="s">
        <v>198</v>
      </c>
    </row>
    <row r="63" spans="1:15" s="29" customFormat="1" ht="72" x14ac:dyDescent="0.3">
      <c r="A63" s="33"/>
      <c r="B63" s="33" t="s">
        <v>36</v>
      </c>
      <c r="C63" s="33" t="s">
        <v>211</v>
      </c>
      <c r="D63" s="33" t="s">
        <v>817</v>
      </c>
      <c r="E63" s="33" t="s">
        <v>14</v>
      </c>
      <c r="F63" s="33">
        <v>45720</v>
      </c>
      <c r="G63" s="85" t="s">
        <v>3</v>
      </c>
      <c r="H63" s="34">
        <v>3</v>
      </c>
      <c r="I63" s="34">
        <v>0</v>
      </c>
      <c r="J63" s="34">
        <v>70</v>
      </c>
      <c r="K63" s="34">
        <v>0</v>
      </c>
      <c r="L63" s="34">
        <v>73</v>
      </c>
      <c r="M63" s="35" t="s">
        <v>207</v>
      </c>
      <c r="N63" s="35" t="s">
        <v>11</v>
      </c>
      <c r="O63" s="35" t="s">
        <v>208</v>
      </c>
    </row>
    <row r="64" spans="1:15" s="29" customFormat="1" ht="168" x14ac:dyDescent="0.3">
      <c r="A64" s="82"/>
      <c r="B64" s="82" t="s">
        <v>36</v>
      </c>
      <c r="C64" s="82" t="s">
        <v>195</v>
      </c>
      <c r="D64" s="82" t="s">
        <v>12</v>
      </c>
      <c r="E64" s="82" t="s">
        <v>2</v>
      </c>
      <c r="F64" s="82" t="s">
        <v>173</v>
      </c>
      <c r="G64" s="85" t="s">
        <v>273</v>
      </c>
      <c r="H64" s="83">
        <v>0</v>
      </c>
      <c r="I64" s="83">
        <v>7</v>
      </c>
      <c r="J64" s="83">
        <v>63</v>
      </c>
      <c r="K64" s="83">
        <v>0</v>
      </c>
      <c r="L64" s="83">
        <f>SUM(H64:K64)</f>
        <v>70</v>
      </c>
      <c r="M64" s="85" t="s">
        <v>442</v>
      </c>
      <c r="N64" s="35" t="s">
        <v>19</v>
      </c>
      <c r="O64" s="35" t="s">
        <v>172</v>
      </c>
    </row>
    <row r="65" spans="1:15" s="29" customFormat="1" ht="228" x14ac:dyDescent="0.3">
      <c r="A65" s="82"/>
      <c r="B65" s="82" t="s">
        <v>36</v>
      </c>
      <c r="C65" s="82" t="s">
        <v>195</v>
      </c>
      <c r="D65" s="82" t="s">
        <v>12</v>
      </c>
      <c r="E65" s="82" t="s">
        <v>2</v>
      </c>
      <c r="F65" s="82" t="s">
        <v>173</v>
      </c>
      <c r="G65" s="85" t="s">
        <v>273</v>
      </c>
      <c r="H65" s="83">
        <v>95</v>
      </c>
      <c r="I65" s="83">
        <v>0</v>
      </c>
      <c r="J65" s="83">
        <v>0</v>
      </c>
      <c r="K65" s="83">
        <v>0</v>
      </c>
      <c r="L65" s="83">
        <f>SUM(H65:K65)</f>
        <v>95</v>
      </c>
      <c r="M65" s="35" t="s">
        <v>4</v>
      </c>
      <c r="N65" s="35" t="s">
        <v>11</v>
      </c>
      <c r="O65" s="35" t="s">
        <v>176</v>
      </c>
    </row>
    <row r="66" spans="1:15" s="29" customFormat="1" ht="150" customHeight="1" x14ac:dyDescent="0.3">
      <c r="A66" s="33"/>
      <c r="B66" s="33" t="s">
        <v>0</v>
      </c>
      <c r="C66" s="33" t="s">
        <v>174</v>
      </c>
      <c r="D66" s="33" t="s">
        <v>817</v>
      </c>
      <c r="E66" s="33" t="s">
        <v>2</v>
      </c>
      <c r="F66" s="33">
        <v>45721</v>
      </c>
      <c r="G66" s="85" t="s">
        <v>3</v>
      </c>
      <c r="H66" s="34">
        <v>13</v>
      </c>
      <c r="I66" s="34">
        <v>39</v>
      </c>
      <c r="J66" s="34">
        <v>159</v>
      </c>
      <c r="K66" s="34">
        <v>0</v>
      </c>
      <c r="L66" s="34">
        <f>SUM(H66:K66)</f>
        <v>211</v>
      </c>
      <c r="M66" s="35" t="s">
        <v>4</v>
      </c>
      <c r="N66" s="35" t="s">
        <v>11</v>
      </c>
      <c r="O66" s="35" t="s">
        <v>175</v>
      </c>
    </row>
    <row r="67" spans="1:15" s="29" customFormat="1" ht="48" x14ac:dyDescent="0.3">
      <c r="A67" s="26"/>
      <c r="B67" s="26" t="s">
        <v>0</v>
      </c>
      <c r="C67" s="26" t="s">
        <v>152</v>
      </c>
      <c r="D67" s="26" t="s">
        <v>817</v>
      </c>
      <c r="E67" s="26" t="s">
        <v>15</v>
      </c>
      <c r="F67" s="26">
        <v>45721</v>
      </c>
      <c r="G67" s="28" t="s">
        <v>193</v>
      </c>
      <c r="H67" s="27">
        <v>0</v>
      </c>
      <c r="I67" s="27">
        <v>4</v>
      </c>
      <c r="J67" s="27">
        <v>7</v>
      </c>
      <c r="K67" s="27">
        <v>3</v>
      </c>
      <c r="L67" s="27">
        <v>14</v>
      </c>
      <c r="M67" s="28" t="s">
        <v>153</v>
      </c>
      <c r="N67" s="28" t="s">
        <v>11</v>
      </c>
      <c r="O67" s="28" t="s">
        <v>192</v>
      </c>
    </row>
    <row r="68" spans="1:15" s="29" customFormat="1" ht="66.75" customHeight="1" x14ac:dyDescent="0.3">
      <c r="A68" s="26"/>
      <c r="B68" s="26" t="s">
        <v>48</v>
      </c>
      <c r="C68" s="26" t="s">
        <v>154</v>
      </c>
      <c r="D68" s="26" t="s">
        <v>817</v>
      </c>
      <c r="E68" s="26" t="s">
        <v>2</v>
      </c>
      <c r="F68" s="26">
        <v>45722</v>
      </c>
      <c r="G68" s="85" t="s">
        <v>3</v>
      </c>
      <c r="H68" s="27">
        <v>0</v>
      </c>
      <c r="I68" s="27">
        <v>3</v>
      </c>
      <c r="J68" s="27">
        <v>3</v>
      </c>
      <c r="K68" s="27">
        <v>1</v>
      </c>
      <c r="L68" s="27">
        <v>7</v>
      </c>
      <c r="M68" s="28" t="s">
        <v>155</v>
      </c>
      <c r="N68" s="28" t="s">
        <v>11</v>
      </c>
      <c r="O68" s="28" t="s">
        <v>191</v>
      </c>
    </row>
    <row r="69" spans="1:15" s="29" customFormat="1" ht="60" x14ac:dyDescent="0.3">
      <c r="A69" s="26"/>
      <c r="B69" s="26" t="s">
        <v>48</v>
      </c>
      <c r="C69" s="26" t="s">
        <v>156</v>
      </c>
      <c r="D69" s="26" t="s">
        <v>817</v>
      </c>
      <c r="E69" s="26" t="s">
        <v>2</v>
      </c>
      <c r="F69" s="26">
        <v>45722</v>
      </c>
      <c r="G69" s="85" t="s">
        <v>3</v>
      </c>
      <c r="H69" s="27">
        <v>0</v>
      </c>
      <c r="I69" s="27">
        <v>12</v>
      </c>
      <c r="J69" s="27">
        <v>17</v>
      </c>
      <c r="K69" s="27">
        <v>0</v>
      </c>
      <c r="L69" s="27">
        <v>29</v>
      </c>
      <c r="M69" s="28" t="s">
        <v>157</v>
      </c>
      <c r="N69" s="28" t="s">
        <v>11</v>
      </c>
      <c r="O69" s="28" t="s">
        <v>190</v>
      </c>
    </row>
    <row r="70" spans="1:15" s="29" customFormat="1" ht="192" x14ac:dyDescent="0.3">
      <c r="A70" s="33"/>
      <c r="B70" s="33" t="s">
        <v>48</v>
      </c>
      <c r="C70" s="33" t="s">
        <v>183</v>
      </c>
      <c r="D70" s="33" t="s">
        <v>817</v>
      </c>
      <c r="E70" s="33" t="s">
        <v>2</v>
      </c>
      <c r="F70" s="33">
        <v>45722</v>
      </c>
      <c r="G70" s="35" t="s">
        <v>196</v>
      </c>
      <c r="H70" s="34">
        <v>150</v>
      </c>
      <c r="I70" s="34">
        <v>20</v>
      </c>
      <c r="J70" s="34">
        <v>24</v>
      </c>
      <c r="K70" s="34">
        <v>5</v>
      </c>
      <c r="L70" s="34">
        <f>SUM(H70:K70)</f>
        <v>199</v>
      </c>
      <c r="M70" s="35" t="s">
        <v>26</v>
      </c>
      <c r="N70" s="35" t="s">
        <v>11</v>
      </c>
      <c r="O70" s="35" t="s">
        <v>182</v>
      </c>
    </row>
    <row r="71" spans="1:15" s="29" customFormat="1" ht="235.5" customHeight="1" x14ac:dyDescent="0.3">
      <c r="A71" s="82"/>
      <c r="B71" s="82" t="s">
        <v>37</v>
      </c>
      <c r="C71" s="82" t="s">
        <v>181</v>
      </c>
      <c r="D71" s="82" t="s">
        <v>817</v>
      </c>
      <c r="E71" s="82" t="s">
        <v>2</v>
      </c>
      <c r="F71" s="82" t="s">
        <v>180</v>
      </c>
      <c r="G71" s="85" t="s">
        <v>3</v>
      </c>
      <c r="H71" s="83">
        <v>7</v>
      </c>
      <c r="I71" s="83">
        <v>19</v>
      </c>
      <c r="J71" s="83">
        <v>55</v>
      </c>
      <c r="K71" s="83">
        <v>0</v>
      </c>
      <c r="L71" s="83">
        <f>SUM(H71:K71)</f>
        <v>81</v>
      </c>
      <c r="M71" s="35" t="s">
        <v>67</v>
      </c>
      <c r="N71" s="35" t="s">
        <v>11</v>
      </c>
      <c r="O71" s="35" t="s">
        <v>189</v>
      </c>
    </row>
    <row r="72" spans="1:15" s="29" customFormat="1" ht="127.5" customHeight="1" x14ac:dyDescent="0.3">
      <c r="A72" s="82"/>
      <c r="B72" s="82" t="s">
        <v>0</v>
      </c>
      <c r="C72" s="82" t="s">
        <v>158</v>
      </c>
      <c r="D72" s="82" t="s">
        <v>33</v>
      </c>
      <c r="E72" s="82" t="s">
        <v>2</v>
      </c>
      <c r="F72" s="82" t="s">
        <v>159</v>
      </c>
      <c r="G72" s="28" t="s">
        <v>160</v>
      </c>
      <c r="H72" s="83">
        <v>1</v>
      </c>
      <c r="I72" s="83">
        <v>0</v>
      </c>
      <c r="J72" s="83">
        <v>1</v>
      </c>
      <c r="K72" s="83">
        <v>0</v>
      </c>
      <c r="L72" s="83">
        <v>2</v>
      </c>
      <c r="M72" s="28" t="s">
        <v>155</v>
      </c>
      <c r="N72" s="28" t="s">
        <v>16</v>
      </c>
      <c r="O72" s="28" t="s">
        <v>161</v>
      </c>
    </row>
    <row r="73" spans="1:15" s="29" customFormat="1" ht="104.25" customHeight="1" x14ac:dyDescent="0.3">
      <c r="A73" s="26"/>
      <c r="B73" s="72" t="s">
        <v>28</v>
      </c>
      <c r="C73" s="26" t="s">
        <v>162</v>
      </c>
      <c r="D73" s="26" t="s">
        <v>817</v>
      </c>
      <c r="E73" s="26" t="s">
        <v>2</v>
      </c>
      <c r="F73" s="26">
        <v>45723</v>
      </c>
      <c r="G73" s="85" t="s">
        <v>3</v>
      </c>
      <c r="H73" s="27">
        <v>0</v>
      </c>
      <c r="I73" s="27">
        <v>2</v>
      </c>
      <c r="J73" s="27">
        <v>18</v>
      </c>
      <c r="K73" s="27">
        <v>6</v>
      </c>
      <c r="L73" s="27">
        <v>26</v>
      </c>
      <c r="M73" s="28" t="s">
        <v>163</v>
      </c>
      <c r="N73" s="28" t="s">
        <v>11</v>
      </c>
      <c r="O73" s="28" t="s">
        <v>164</v>
      </c>
    </row>
    <row r="74" spans="1:15" s="29" customFormat="1" ht="104.25" customHeight="1" x14ac:dyDescent="0.3">
      <c r="A74" s="33"/>
      <c r="B74" s="33" t="s">
        <v>36</v>
      </c>
      <c r="C74" s="33" t="s">
        <v>212</v>
      </c>
      <c r="D74" s="33" t="s">
        <v>817</v>
      </c>
      <c r="E74" s="33" t="s">
        <v>14</v>
      </c>
      <c r="F74" s="33">
        <v>45723</v>
      </c>
      <c r="G74" s="85" t="s">
        <v>3</v>
      </c>
      <c r="H74" s="34">
        <v>3</v>
      </c>
      <c r="I74" s="34">
        <v>0</v>
      </c>
      <c r="J74" s="34">
        <v>146</v>
      </c>
      <c r="K74" s="34">
        <v>0</v>
      </c>
      <c r="L74" s="34">
        <v>149</v>
      </c>
      <c r="M74" s="35" t="s">
        <v>207</v>
      </c>
      <c r="N74" s="35" t="s">
        <v>11</v>
      </c>
      <c r="O74" s="35" t="s">
        <v>208</v>
      </c>
    </row>
    <row r="75" spans="1:15" s="29" customFormat="1" ht="178.5" customHeight="1" x14ac:dyDescent="0.3">
      <c r="A75" s="33"/>
      <c r="B75" s="33" t="s">
        <v>0</v>
      </c>
      <c r="C75" s="33" t="s">
        <v>185</v>
      </c>
      <c r="D75" s="33" t="s">
        <v>817</v>
      </c>
      <c r="E75" s="33" t="s">
        <v>2</v>
      </c>
      <c r="F75" s="33">
        <v>45723</v>
      </c>
      <c r="G75" s="85" t="s">
        <v>3</v>
      </c>
      <c r="H75" s="34">
        <v>49</v>
      </c>
      <c r="I75" s="34">
        <v>69</v>
      </c>
      <c r="J75" s="34">
        <v>277</v>
      </c>
      <c r="K75" s="34">
        <v>19</v>
      </c>
      <c r="L75" s="34">
        <f>SUM(H75:K75)</f>
        <v>414</v>
      </c>
      <c r="M75" s="35" t="s">
        <v>4</v>
      </c>
      <c r="N75" s="35" t="s">
        <v>11</v>
      </c>
      <c r="O75" s="35" t="s">
        <v>184</v>
      </c>
    </row>
    <row r="76" spans="1:15" s="29" customFormat="1" ht="64.5" customHeight="1" x14ac:dyDescent="0.3">
      <c r="A76" s="68"/>
      <c r="B76" s="82" t="s">
        <v>0</v>
      </c>
      <c r="C76" s="82" t="s">
        <v>185</v>
      </c>
      <c r="D76" s="82" t="s">
        <v>817</v>
      </c>
      <c r="E76" s="82" t="s">
        <v>14</v>
      </c>
      <c r="F76" s="82">
        <v>45723</v>
      </c>
      <c r="G76" s="85" t="s">
        <v>3</v>
      </c>
      <c r="H76" s="83">
        <v>0</v>
      </c>
      <c r="I76" s="83">
        <v>0</v>
      </c>
      <c r="J76" s="83">
        <v>9</v>
      </c>
      <c r="K76" s="83">
        <v>0</v>
      </c>
      <c r="L76" s="83">
        <v>9</v>
      </c>
      <c r="M76" s="85" t="s">
        <v>257</v>
      </c>
      <c r="N76" s="69" t="s">
        <v>30</v>
      </c>
      <c r="O76" s="69" t="s">
        <v>260</v>
      </c>
    </row>
    <row r="77" spans="1:15" s="29" customFormat="1" ht="96" x14ac:dyDescent="0.3">
      <c r="A77" s="66"/>
      <c r="B77" s="72" t="s">
        <v>28</v>
      </c>
      <c r="C77" s="66" t="s">
        <v>162</v>
      </c>
      <c r="D77" s="66" t="s">
        <v>817</v>
      </c>
      <c r="E77" s="66" t="s">
        <v>2</v>
      </c>
      <c r="F77" s="68">
        <v>45723</v>
      </c>
      <c r="G77" s="85" t="s">
        <v>3</v>
      </c>
      <c r="H77" s="54">
        <v>0</v>
      </c>
      <c r="I77" s="54">
        <v>2</v>
      </c>
      <c r="J77" s="54">
        <v>18</v>
      </c>
      <c r="K77" s="54">
        <v>6</v>
      </c>
      <c r="L77" s="54">
        <v>19</v>
      </c>
      <c r="M77" s="69" t="s">
        <v>163</v>
      </c>
      <c r="N77" s="69" t="s">
        <v>11</v>
      </c>
      <c r="O77" s="67" t="s">
        <v>256</v>
      </c>
    </row>
    <row r="78" spans="1:15" s="29" customFormat="1" ht="79.5" customHeight="1" x14ac:dyDescent="0.3">
      <c r="A78" s="82"/>
      <c r="B78" s="82" t="s">
        <v>38</v>
      </c>
      <c r="C78" s="82" t="s">
        <v>205</v>
      </c>
      <c r="D78" s="82" t="s">
        <v>817</v>
      </c>
      <c r="E78" s="82" t="s">
        <v>2</v>
      </c>
      <c r="F78" s="82" t="s">
        <v>166</v>
      </c>
      <c r="G78" s="85" t="s">
        <v>34</v>
      </c>
      <c r="H78" s="83">
        <v>0</v>
      </c>
      <c r="I78" s="83">
        <v>15</v>
      </c>
      <c r="J78" s="83">
        <v>35</v>
      </c>
      <c r="K78" s="83">
        <v>0</v>
      </c>
      <c r="L78" s="83">
        <v>50</v>
      </c>
      <c r="M78" s="85" t="s">
        <v>442</v>
      </c>
      <c r="N78" s="32" t="s">
        <v>11</v>
      </c>
      <c r="O78" s="32" t="s">
        <v>194</v>
      </c>
    </row>
    <row r="79" spans="1:15" s="29" customFormat="1" ht="79.5" customHeight="1" x14ac:dyDescent="0.3">
      <c r="A79" s="33"/>
      <c r="B79" s="33" t="s">
        <v>36</v>
      </c>
      <c r="C79" s="33" t="s">
        <v>213</v>
      </c>
      <c r="D79" s="33" t="s">
        <v>817</v>
      </c>
      <c r="E79" s="33" t="s">
        <v>14</v>
      </c>
      <c r="F79" s="33">
        <v>45726</v>
      </c>
      <c r="G79" s="85" t="s">
        <v>3</v>
      </c>
      <c r="H79" s="83">
        <v>3</v>
      </c>
      <c r="I79" s="83">
        <v>0</v>
      </c>
      <c r="J79" s="83">
        <v>138</v>
      </c>
      <c r="K79" s="83">
        <v>0</v>
      </c>
      <c r="L79" s="83">
        <v>141</v>
      </c>
      <c r="M79" s="35" t="s">
        <v>207</v>
      </c>
      <c r="N79" s="35" t="s">
        <v>11</v>
      </c>
      <c r="O79" s="35" t="s">
        <v>208</v>
      </c>
    </row>
    <row r="80" spans="1:15" s="29" customFormat="1" ht="222" customHeight="1" x14ac:dyDescent="0.3">
      <c r="A80" s="31"/>
      <c r="B80" s="82" t="s">
        <v>20</v>
      </c>
      <c r="C80" s="82" t="s">
        <v>217</v>
      </c>
      <c r="D80" s="82" t="s">
        <v>817</v>
      </c>
      <c r="E80" s="82" t="s">
        <v>2</v>
      </c>
      <c r="F80" s="82" t="s">
        <v>216</v>
      </c>
      <c r="G80" s="85" t="s">
        <v>3</v>
      </c>
      <c r="H80" s="83">
        <v>45</v>
      </c>
      <c r="I80" s="83">
        <v>67</v>
      </c>
      <c r="J80" s="83">
        <v>425</v>
      </c>
      <c r="K80" s="83">
        <v>25</v>
      </c>
      <c r="L80" s="83">
        <v>562</v>
      </c>
      <c r="M80" s="35" t="s">
        <v>44</v>
      </c>
      <c r="N80" s="35" t="s">
        <v>11</v>
      </c>
      <c r="O80" s="35" t="s">
        <v>218</v>
      </c>
    </row>
    <row r="81" spans="1:15" s="29" customFormat="1" ht="139.5" customHeight="1" x14ac:dyDescent="0.3">
      <c r="A81" s="26"/>
      <c r="B81" s="26" t="s">
        <v>0</v>
      </c>
      <c r="C81" s="26" t="s">
        <v>165</v>
      </c>
      <c r="D81" s="26" t="s">
        <v>817</v>
      </c>
      <c r="E81" s="26" t="s">
        <v>2</v>
      </c>
      <c r="F81" s="26">
        <v>45727</v>
      </c>
      <c r="G81" s="85" t="s">
        <v>3</v>
      </c>
      <c r="H81" s="27">
        <v>0</v>
      </c>
      <c r="I81" s="27">
        <v>5</v>
      </c>
      <c r="J81" s="27">
        <v>45</v>
      </c>
      <c r="K81" s="27">
        <v>0</v>
      </c>
      <c r="L81" s="27">
        <v>50</v>
      </c>
      <c r="M81" s="28" t="s">
        <v>188</v>
      </c>
      <c r="N81" s="28" t="s">
        <v>11</v>
      </c>
      <c r="O81" s="28" t="s">
        <v>204</v>
      </c>
    </row>
    <row r="82" spans="1:15" s="29" customFormat="1" ht="139.5" customHeight="1" x14ac:dyDescent="0.3">
      <c r="A82" s="33"/>
      <c r="B82" s="33" t="s">
        <v>0</v>
      </c>
      <c r="C82" s="33" t="s">
        <v>225</v>
      </c>
      <c r="D82" s="33" t="s">
        <v>817</v>
      </c>
      <c r="E82" s="33" t="s">
        <v>14</v>
      </c>
      <c r="F82" s="33">
        <v>45728</v>
      </c>
      <c r="G82" s="85" t="s">
        <v>3</v>
      </c>
      <c r="H82" s="34">
        <v>0</v>
      </c>
      <c r="I82" s="34">
        <v>2</v>
      </c>
      <c r="J82" s="34">
        <v>4</v>
      </c>
      <c r="K82" s="34">
        <v>0</v>
      </c>
      <c r="L82" s="34">
        <v>6</v>
      </c>
      <c r="M82" s="35" t="s">
        <v>9</v>
      </c>
      <c r="N82" s="37" t="s">
        <v>11</v>
      </c>
      <c r="O82" s="35" t="s">
        <v>228</v>
      </c>
    </row>
    <row r="83" spans="1:15" s="29" customFormat="1" ht="115.5" customHeight="1" x14ac:dyDescent="0.3">
      <c r="A83" s="33"/>
      <c r="B83" s="33" t="s">
        <v>20</v>
      </c>
      <c r="C83" s="33" t="s">
        <v>214</v>
      </c>
      <c r="D83" s="33" t="s">
        <v>817</v>
      </c>
      <c r="E83" s="33" t="s">
        <v>2</v>
      </c>
      <c r="F83" s="33">
        <v>45728</v>
      </c>
      <c r="G83" s="85" t="s">
        <v>3</v>
      </c>
      <c r="H83" s="34">
        <v>25</v>
      </c>
      <c r="I83" s="34">
        <v>0</v>
      </c>
      <c r="J83" s="34">
        <v>0</v>
      </c>
      <c r="K83" s="34">
        <v>0</v>
      </c>
      <c r="L83" s="34">
        <v>25</v>
      </c>
      <c r="M83" s="35" t="s">
        <v>44</v>
      </c>
      <c r="N83" s="35" t="s">
        <v>11</v>
      </c>
      <c r="O83" s="35" t="s">
        <v>215</v>
      </c>
    </row>
    <row r="84" spans="1:15" s="29" customFormat="1" ht="36" x14ac:dyDescent="0.3">
      <c r="A84" s="42"/>
      <c r="B84" s="45" t="s">
        <v>74</v>
      </c>
      <c r="C84" s="45" t="s">
        <v>230</v>
      </c>
      <c r="D84" s="45" t="s">
        <v>816</v>
      </c>
      <c r="E84" s="45" t="s">
        <v>2</v>
      </c>
      <c r="F84" s="45">
        <v>45729</v>
      </c>
      <c r="G84" s="85" t="s">
        <v>3</v>
      </c>
      <c r="H84" s="47">
        <v>0</v>
      </c>
      <c r="I84" s="47">
        <v>6</v>
      </c>
      <c r="J84" s="47">
        <v>4</v>
      </c>
      <c r="K84" s="47">
        <v>0</v>
      </c>
      <c r="L84" s="47">
        <v>10</v>
      </c>
      <c r="M84" s="46" t="s">
        <v>82</v>
      </c>
      <c r="N84" s="43" t="s">
        <v>11</v>
      </c>
      <c r="O84" s="43" t="s">
        <v>231</v>
      </c>
    </row>
    <row r="85" spans="1:15" s="29" customFormat="1" ht="36" x14ac:dyDescent="0.3">
      <c r="A85" s="38"/>
      <c r="B85" s="38" t="s">
        <v>0</v>
      </c>
      <c r="C85" s="38" t="s">
        <v>226</v>
      </c>
      <c r="D85" s="40" t="s">
        <v>817</v>
      </c>
      <c r="E85" s="40" t="s">
        <v>2</v>
      </c>
      <c r="F85" s="38">
        <v>45730</v>
      </c>
      <c r="G85" s="85" t="s">
        <v>3</v>
      </c>
      <c r="H85" s="34">
        <v>1</v>
      </c>
      <c r="I85" s="34">
        <v>2</v>
      </c>
      <c r="J85" s="34">
        <v>9</v>
      </c>
      <c r="K85" s="34">
        <v>0</v>
      </c>
      <c r="L85" s="34">
        <v>12</v>
      </c>
      <c r="M85" s="37" t="s">
        <v>227</v>
      </c>
      <c r="N85" s="39" t="s">
        <v>11</v>
      </c>
      <c r="O85" s="37" t="s">
        <v>232</v>
      </c>
    </row>
    <row r="86" spans="1:15" s="29" customFormat="1" ht="162" customHeight="1" x14ac:dyDescent="0.3">
      <c r="A86" s="33"/>
      <c r="B86" s="33" t="s">
        <v>6</v>
      </c>
      <c r="C86" s="33" t="s">
        <v>201</v>
      </c>
      <c r="D86" s="33" t="s">
        <v>23</v>
      </c>
      <c r="E86" s="33" t="s">
        <v>2</v>
      </c>
      <c r="F86" s="33">
        <v>45730</v>
      </c>
      <c r="G86" s="85" t="s">
        <v>3</v>
      </c>
      <c r="H86" s="34">
        <v>21</v>
      </c>
      <c r="I86" s="34">
        <v>80</v>
      </c>
      <c r="J86" s="34">
        <v>220</v>
      </c>
      <c r="K86" s="34">
        <v>0</v>
      </c>
      <c r="L86" s="34">
        <f>SUM(H86:K86)</f>
        <v>321</v>
      </c>
      <c r="M86" s="35" t="s">
        <v>202</v>
      </c>
      <c r="N86" s="35" t="s">
        <v>11</v>
      </c>
      <c r="O86" s="35" t="s">
        <v>203</v>
      </c>
    </row>
    <row r="87" spans="1:15" s="29" customFormat="1" ht="72" x14ac:dyDescent="0.3">
      <c r="A87" s="51"/>
      <c r="B87" s="51" t="s">
        <v>39</v>
      </c>
      <c r="C87" s="51" t="s">
        <v>237</v>
      </c>
      <c r="D87" s="51" t="s">
        <v>817</v>
      </c>
      <c r="E87" s="51" t="s">
        <v>2</v>
      </c>
      <c r="F87" s="51">
        <v>45730</v>
      </c>
      <c r="G87" s="85" t="s">
        <v>3</v>
      </c>
      <c r="H87" s="36">
        <v>0</v>
      </c>
      <c r="I87" s="36">
        <v>0</v>
      </c>
      <c r="J87" s="36">
        <v>0</v>
      </c>
      <c r="K87" s="36">
        <v>0</v>
      </c>
      <c r="L87" s="36">
        <v>0</v>
      </c>
      <c r="M87" s="50" t="s">
        <v>238</v>
      </c>
      <c r="N87" s="50" t="s">
        <v>11</v>
      </c>
      <c r="O87" s="50" t="s">
        <v>239</v>
      </c>
    </row>
    <row r="88" spans="1:15" s="29" customFormat="1" ht="36" x14ac:dyDescent="0.3">
      <c r="A88" s="82"/>
      <c r="B88" s="68" t="s">
        <v>20</v>
      </c>
      <c r="C88" s="68" t="s">
        <v>261</v>
      </c>
      <c r="D88" s="68" t="s">
        <v>23</v>
      </c>
      <c r="E88" s="68" t="s">
        <v>2</v>
      </c>
      <c r="F88" s="68">
        <v>45731</v>
      </c>
      <c r="G88" s="69" t="s">
        <v>40</v>
      </c>
      <c r="H88" s="54">
        <v>0</v>
      </c>
      <c r="I88" s="54">
        <v>1</v>
      </c>
      <c r="J88" s="54">
        <v>2</v>
      </c>
      <c r="K88" s="54">
        <v>0</v>
      </c>
      <c r="L88" s="54">
        <v>3</v>
      </c>
      <c r="M88" s="69" t="s">
        <v>257</v>
      </c>
      <c r="N88" s="69" t="s">
        <v>30</v>
      </c>
      <c r="O88" s="69" t="s">
        <v>262</v>
      </c>
    </row>
    <row r="89" spans="1:15" s="29" customFormat="1" ht="84" x14ac:dyDescent="0.3">
      <c r="A89" s="53"/>
      <c r="B89" s="26" t="s">
        <v>1</v>
      </c>
      <c r="C89" s="26" t="s">
        <v>199</v>
      </c>
      <c r="D89" s="26" t="s">
        <v>45</v>
      </c>
      <c r="E89" s="33" t="s">
        <v>2</v>
      </c>
      <c r="F89" s="53">
        <v>45733</v>
      </c>
      <c r="G89" s="85" t="s">
        <v>3</v>
      </c>
      <c r="H89" s="54">
        <v>5</v>
      </c>
      <c r="I89" s="54">
        <v>0</v>
      </c>
      <c r="J89" s="54">
        <v>5</v>
      </c>
      <c r="K89" s="54">
        <v>0</v>
      </c>
      <c r="L89" s="27">
        <f>SUM(H89:K89)</f>
        <v>10</v>
      </c>
      <c r="M89" s="55" t="s">
        <v>22</v>
      </c>
      <c r="N89" s="55" t="s">
        <v>11</v>
      </c>
      <c r="O89" s="28" t="s">
        <v>200</v>
      </c>
    </row>
    <row r="90" spans="1:15" s="29" customFormat="1" ht="57.75" customHeight="1" x14ac:dyDescent="0.3">
      <c r="A90" s="40"/>
      <c r="B90" s="40" t="s">
        <v>1</v>
      </c>
      <c r="C90" s="40" t="s">
        <v>129</v>
      </c>
      <c r="D90" s="42" t="s">
        <v>817</v>
      </c>
      <c r="E90" s="42" t="s">
        <v>2</v>
      </c>
      <c r="F90" s="40">
        <v>45734</v>
      </c>
      <c r="G90" s="85" t="s">
        <v>3</v>
      </c>
      <c r="H90" s="34">
        <v>0</v>
      </c>
      <c r="I90" s="34">
        <v>3</v>
      </c>
      <c r="J90" s="34">
        <v>5</v>
      </c>
      <c r="K90" s="34">
        <v>2</v>
      </c>
      <c r="L90" s="34">
        <v>10</v>
      </c>
      <c r="M90" s="39" t="s">
        <v>227</v>
      </c>
      <c r="N90" s="41" t="s">
        <v>11</v>
      </c>
      <c r="O90" s="39" t="s">
        <v>229</v>
      </c>
    </row>
    <row r="91" spans="1:15" s="29" customFormat="1" ht="36" x14ac:dyDescent="0.3">
      <c r="A91" s="44"/>
      <c r="B91" s="44" t="s">
        <v>37</v>
      </c>
      <c r="C91" s="44" t="s">
        <v>233</v>
      </c>
      <c r="D91" s="44" t="s">
        <v>817</v>
      </c>
      <c r="E91" s="44" t="s">
        <v>2</v>
      </c>
      <c r="F91" s="49">
        <v>45734</v>
      </c>
      <c r="G91" s="85" t="s">
        <v>3</v>
      </c>
      <c r="H91" s="34">
        <v>0</v>
      </c>
      <c r="I91" s="34">
        <v>0</v>
      </c>
      <c r="J91" s="34">
        <v>10</v>
      </c>
      <c r="K91" s="34">
        <v>0</v>
      </c>
      <c r="L91" s="34">
        <v>10</v>
      </c>
      <c r="M91" s="43" t="s">
        <v>25</v>
      </c>
      <c r="N91" s="48" t="s">
        <v>11</v>
      </c>
      <c r="O91" s="43" t="s">
        <v>234</v>
      </c>
    </row>
    <row r="92" spans="1:15" s="29" customFormat="1" ht="91.5" customHeight="1" x14ac:dyDescent="0.3">
      <c r="A92" s="49"/>
      <c r="B92" s="82" t="s">
        <v>28</v>
      </c>
      <c r="C92" s="82" t="s">
        <v>235</v>
      </c>
      <c r="D92" s="82" t="s">
        <v>12</v>
      </c>
      <c r="E92" s="82" t="s">
        <v>2</v>
      </c>
      <c r="F92" s="82">
        <v>45734</v>
      </c>
      <c r="G92" s="85" t="s">
        <v>34</v>
      </c>
      <c r="H92" s="83">
        <v>90</v>
      </c>
      <c r="I92" s="83">
        <v>0</v>
      </c>
      <c r="J92" s="83">
        <v>20</v>
      </c>
      <c r="K92" s="83">
        <v>0</v>
      </c>
      <c r="L92" s="83">
        <v>110</v>
      </c>
      <c r="M92" s="85" t="s">
        <v>141</v>
      </c>
      <c r="N92" s="48" t="s">
        <v>11</v>
      </c>
      <c r="O92" s="48" t="s">
        <v>236</v>
      </c>
    </row>
    <row r="93" spans="1:15" s="29" customFormat="1" ht="60" x14ac:dyDescent="0.3">
      <c r="A93" s="82"/>
      <c r="B93" s="82" t="s">
        <v>36</v>
      </c>
      <c r="C93" s="82" t="s">
        <v>221</v>
      </c>
      <c r="D93" s="82" t="s">
        <v>23</v>
      </c>
      <c r="E93" s="82" t="s">
        <v>2</v>
      </c>
      <c r="F93" s="82" t="s">
        <v>222</v>
      </c>
      <c r="G93" s="85" t="s">
        <v>34</v>
      </c>
      <c r="H93" s="83">
        <v>2</v>
      </c>
      <c r="I93" s="83">
        <v>0</v>
      </c>
      <c r="J93" s="83">
        <v>0</v>
      </c>
      <c r="K93" s="83">
        <v>0</v>
      </c>
      <c r="L93" s="83">
        <f>SUM(H93:K93)</f>
        <v>2</v>
      </c>
      <c r="M93" s="35" t="s">
        <v>223</v>
      </c>
      <c r="N93" s="35" t="s">
        <v>19</v>
      </c>
      <c r="O93" s="35" t="s">
        <v>224</v>
      </c>
    </row>
    <row r="94" spans="1:15" s="29" customFormat="1" ht="168" x14ac:dyDescent="0.3">
      <c r="A94" s="26"/>
      <c r="B94" s="26" t="s">
        <v>20</v>
      </c>
      <c r="C94" s="26" t="s">
        <v>219</v>
      </c>
      <c r="D94" s="26" t="s">
        <v>817</v>
      </c>
      <c r="E94" s="26" t="s">
        <v>2</v>
      </c>
      <c r="F94" s="26">
        <v>45735</v>
      </c>
      <c r="G94" s="85" t="s">
        <v>3</v>
      </c>
      <c r="H94" s="27">
        <v>38</v>
      </c>
      <c r="I94" s="27">
        <v>0</v>
      </c>
      <c r="J94" s="27">
        <v>0</v>
      </c>
      <c r="K94" s="27">
        <v>0</v>
      </c>
      <c r="L94" s="27">
        <v>38</v>
      </c>
      <c r="M94" s="28" t="s">
        <v>44</v>
      </c>
      <c r="N94" s="28" t="s">
        <v>11</v>
      </c>
      <c r="O94" s="28" t="s">
        <v>220</v>
      </c>
    </row>
    <row r="95" spans="1:15" s="29" customFormat="1" ht="150" customHeight="1" x14ac:dyDescent="0.3">
      <c r="A95" s="68"/>
      <c r="B95" s="68" t="s">
        <v>20</v>
      </c>
      <c r="C95" s="68" t="s">
        <v>263</v>
      </c>
      <c r="D95" s="68" t="s">
        <v>817</v>
      </c>
      <c r="E95" s="68" t="s">
        <v>2</v>
      </c>
      <c r="F95" s="68">
        <v>45737</v>
      </c>
      <c r="G95" s="85" t="s">
        <v>3</v>
      </c>
      <c r="H95" s="54">
        <v>4</v>
      </c>
      <c r="I95" s="54">
        <v>0</v>
      </c>
      <c r="J95" s="54">
        <v>68</v>
      </c>
      <c r="K95" s="54">
        <v>0</v>
      </c>
      <c r="L95" s="54">
        <f>SUM(H95:K95)</f>
        <v>72</v>
      </c>
      <c r="M95" s="69" t="s">
        <v>4</v>
      </c>
      <c r="N95" s="69" t="s">
        <v>19</v>
      </c>
      <c r="O95" s="69" t="s">
        <v>264</v>
      </c>
    </row>
    <row r="96" spans="1:15" s="29" customFormat="1" ht="78" customHeight="1" x14ac:dyDescent="0.3">
      <c r="A96" s="26"/>
      <c r="B96" s="53" t="s">
        <v>1</v>
      </c>
      <c r="C96" s="26" t="s">
        <v>243</v>
      </c>
      <c r="D96" s="53" t="s">
        <v>817</v>
      </c>
      <c r="E96" s="53" t="s">
        <v>2</v>
      </c>
      <c r="F96" s="26">
        <v>45740</v>
      </c>
      <c r="G96" s="28" t="s">
        <v>31</v>
      </c>
      <c r="H96" s="27">
        <v>0</v>
      </c>
      <c r="I96" s="27">
        <v>6</v>
      </c>
      <c r="J96" s="27">
        <v>20</v>
      </c>
      <c r="K96" s="27">
        <v>3</v>
      </c>
      <c r="L96" s="27">
        <v>29</v>
      </c>
      <c r="M96" s="28" t="s">
        <v>26</v>
      </c>
      <c r="N96" s="55" t="s">
        <v>11</v>
      </c>
      <c r="O96" s="28" t="s">
        <v>244</v>
      </c>
    </row>
    <row r="97" spans="1:15" s="29" customFormat="1" ht="78.75" customHeight="1" x14ac:dyDescent="0.3">
      <c r="A97" s="26"/>
      <c r="B97" s="53" t="s">
        <v>1</v>
      </c>
      <c r="C97" s="26" t="s">
        <v>245</v>
      </c>
      <c r="D97" s="53" t="s">
        <v>817</v>
      </c>
      <c r="E97" s="53" t="s">
        <v>2</v>
      </c>
      <c r="F97" s="26">
        <v>45741</v>
      </c>
      <c r="G97" s="28" t="s">
        <v>31</v>
      </c>
      <c r="H97" s="27">
        <v>0</v>
      </c>
      <c r="I97" s="27">
        <v>6</v>
      </c>
      <c r="J97" s="27">
        <v>9</v>
      </c>
      <c r="K97" s="27">
        <v>0</v>
      </c>
      <c r="L97" s="27">
        <v>15</v>
      </c>
      <c r="M97" s="28" t="s">
        <v>26</v>
      </c>
      <c r="N97" s="55" t="s">
        <v>11</v>
      </c>
      <c r="O97" s="28" t="s">
        <v>246</v>
      </c>
    </row>
    <row r="98" spans="1:15" s="29" customFormat="1" ht="75.75" customHeight="1" x14ac:dyDescent="0.3">
      <c r="A98" s="26"/>
      <c r="B98" s="53" t="s">
        <v>1</v>
      </c>
      <c r="C98" s="26" t="s">
        <v>247</v>
      </c>
      <c r="D98" s="53" t="s">
        <v>817</v>
      </c>
      <c r="E98" s="53" t="s">
        <v>2</v>
      </c>
      <c r="F98" s="26">
        <v>45742</v>
      </c>
      <c r="G98" s="28" t="s">
        <v>31</v>
      </c>
      <c r="H98" s="27">
        <v>0</v>
      </c>
      <c r="I98" s="27">
        <v>2</v>
      </c>
      <c r="J98" s="27">
        <v>16</v>
      </c>
      <c r="K98" s="27">
        <v>4</v>
      </c>
      <c r="L98" s="27">
        <v>22</v>
      </c>
      <c r="M98" s="28" t="s">
        <v>26</v>
      </c>
      <c r="N98" s="55" t="s">
        <v>11</v>
      </c>
      <c r="O98" s="28" t="s">
        <v>248</v>
      </c>
    </row>
    <row r="99" spans="1:15" s="29" customFormat="1" ht="120" x14ac:dyDescent="0.3">
      <c r="A99" s="26"/>
      <c r="B99" s="68" t="s">
        <v>0</v>
      </c>
      <c r="C99" s="26" t="s">
        <v>265</v>
      </c>
      <c r="D99" s="68" t="s">
        <v>817</v>
      </c>
      <c r="E99" s="68" t="s">
        <v>2</v>
      </c>
      <c r="F99" s="68">
        <v>45742</v>
      </c>
      <c r="G99" s="85" t="s">
        <v>3</v>
      </c>
      <c r="H99" s="27">
        <v>29</v>
      </c>
      <c r="I99" s="27">
        <v>150</v>
      </c>
      <c r="J99" s="27">
        <v>270</v>
      </c>
      <c r="K99" s="27">
        <v>40</v>
      </c>
      <c r="L99" s="27">
        <f>SUM(H99:K99)</f>
        <v>489</v>
      </c>
      <c r="M99" s="69" t="s">
        <v>4</v>
      </c>
      <c r="N99" s="69" t="s">
        <v>11</v>
      </c>
      <c r="O99" s="28" t="s">
        <v>266</v>
      </c>
    </row>
    <row r="100" spans="1:15" s="29" customFormat="1" ht="72" x14ac:dyDescent="0.3">
      <c r="A100" s="72"/>
      <c r="B100" s="72" t="s">
        <v>1</v>
      </c>
      <c r="C100" s="72" t="s">
        <v>309</v>
      </c>
      <c r="D100" s="72" t="s">
        <v>817</v>
      </c>
      <c r="E100" s="72" t="s">
        <v>2</v>
      </c>
      <c r="F100" s="72">
        <v>45743</v>
      </c>
      <c r="G100" s="71" t="s">
        <v>31</v>
      </c>
      <c r="H100" s="54">
        <v>0</v>
      </c>
      <c r="I100" s="54">
        <v>2</v>
      </c>
      <c r="J100" s="54">
        <v>14</v>
      </c>
      <c r="K100" s="54">
        <v>4</v>
      </c>
      <c r="L100" s="54">
        <v>20</v>
      </c>
      <c r="M100" s="71" t="s">
        <v>26</v>
      </c>
      <c r="N100" s="71" t="s">
        <v>11</v>
      </c>
      <c r="O100" s="71" t="s">
        <v>310</v>
      </c>
    </row>
    <row r="101" spans="1:15" s="29" customFormat="1" ht="48" x14ac:dyDescent="0.3">
      <c r="A101" s="72"/>
      <c r="B101" s="72" t="s">
        <v>1</v>
      </c>
      <c r="C101" s="72" t="s">
        <v>311</v>
      </c>
      <c r="D101" s="72" t="s">
        <v>817</v>
      </c>
      <c r="E101" s="72" t="s">
        <v>2</v>
      </c>
      <c r="F101" s="72">
        <v>45743</v>
      </c>
      <c r="G101" s="71" t="s">
        <v>31</v>
      </c>
      <c r="H101" s="54">
        <v>0</v>
      </c>
      <c r="I101" s="54">
        <v>13</v>
      </c>
      <c r="J101" s="54">
        <v>13</v>
      </c>
      <c r="K101" s="54">
        <v>0</v>
      </c>
      <c r="L101" s="54">
        <v>26</v>
      </c>
      <c r="M101" s="71" t="s">
        <v>26</v>
      </c>
      <c r="N101" s="71" t="s">
        <v>11</v>
      </c>
      <c r="O101" s="71" t="s">
        <v>312</v>
      </c>
    </row>
    <row r="102" spans="1:15" s="29" customFormat="1" ht="48" x14ac:dyDescent="0.3">
      <c r="A102" s="26"/>
      <c r="B102" s="68" t="s">
        <v>1</v>
      </c>
      <c r="C102" s="26" t="s">
        <v>267</v>
      </c>
      <c r="D102" s="26" t="s">
        <v>12</v>
      </c>
      <c r="E102" s="26" t="s">
        <v>15</v>
      </c>
      <c r="F102" s="26">
        <v>45748</v>
      </c>
      <c r="G102" s="28" t="s">
        <v>268</v>
      </c>
      <c r="H102" s="27">
        <v>56</v>
      </c>
      <c r="I102" s="27">
        <v>2</v>
      </c>
      <c r="J102" s="27">
        <v>10</v>
      </c>
      <c r="K102" s="27">
        <v>0</v>
      </c>
      <c r="L102" s="27">
        <v>68</v>
      </c>
      <c r="M102" s="28" t="s">
        <v>22</v>
      </c>
      <c r="N102" s="28" t="s">
        <v>16</v>
      </c>
      <c r="O102" s="28" t="s">
        <v>282</v>
      </c>
    </row>
    <row r="103" spans="1:15" s="29" customFormat="1" ht="60" x14ac:dyDescent="0.3">
      <c r="A103" s="26"/>
      <c r="B103" s="26" t="s">
        <v>0</v>
      </c>
      <c r="C103" s="26" t="s">
        <v>269</v>
      </c>
      <c r="D103" s="26" t="s">
        <v>817</v>
      </c>
      <c r="E103" s="26" t="s">
        <v>14</v>
      </c>
      <c r="F103" s="26">
        <v>45749</v>
      </c>
      <c r="G103" s="85" t="s">
        <v>3</v>
      </c>
      <c r="H103" s="27">
        <v>0</v>
      </c>
      <c r="I103" s="27">
        <v>1</v>
      </c>
      <c r="J103" s="27">
        <v>10</v>
      </c>
      <c r="K103" s="27">
        <v>0</v>
      </c>
      <c r="L103" s="27">
        <v>11</v>
      </c>
      <c r="M103" s="28" t="s">
        <v>270</v>
      </c>
      <c r="N103" s="69" t="s">
        <v>11</v>
      </c>
      <c r="O103" s="28" t="s">
        <v>271</v>
      </c>
    </row>
    <row r="104" spans="1:15" s="29" customFormat="1" ht="72" x14ac:dyDescent="0.3">
      <c r="A104" s="82"/>
      <c r="B104" s="82" t="s">
        <v>1</v>
      </c>
      <c r="C104" s="82" t="s">
        <v>313</v>
      </c>
      <c r="D104" s="82" t="s">
        <v>817</v>
      </c>
      <c r="E104" s="82" t="s">
        <v>14</v>
      </c>
      <c r="F104" s="82" t="s">
        <v>315</v>
      </c>
      <c r="G104" s="71" t="s">
        <v>31</v>
      </c>
      <c r="H104" s="83">
        <v>0</v>
      </c>
      <c r="I104" s="83">
        <v>37</v>
      </c>
      <c r="J104" s="83">
        <v>56</v>
      </c>
      <c r="K104" s="83">
        <v>10</v>
      </c>
      <c r="L104" s="83">
        <v>103</v>
      </c>
      <c r="M104" s="71" t="s">
        <v>26</v>
      </c>
      <c r="N104" s="71" t="s">
        <v>11</v>
      </c>
      <c r="O104" s="71" t="s">
        <v>314</v>
      </c>
    </row>
    <row r="105" spans="1:15" s="29" customFormat="1" ht="252" x14ac:dyDescent="0.3">
      <c r="A105" s="68"/>
      <c r="B105" s="68" t="s">
        <v>28</v>
      </c>
      <c r="C105" s="68" t="s">
        <v>272</v>
      </c>
      <c r="D105" s="68" t="s">
        <v>816</v>
      </c>
      <c r="E105" s="72" t="s">
        <v>14</v>
      </c>
      <c r="F105" s="72">
        <v>45750</v>
      </c>
      <c r="G105" s="69" t="s">
        <v>273</v>
      </c>
      <c r="H105" s="54">
        <v>17</v>
      </c>
      <c r="I105" s="54">
        <v>83</v>
      </c>
      <c r="J105" s="54">
        <v>127</v>
      </c>
      <c r="K105" s="54">
        <v>13</v>
      </c>
      <c r="L105" s="54">
        <v>240</v>
      </c>
      <c r="M105" s="69" t="s">
        <v>274</v>
      </c>
      <c r="N105" s="69" t="s">
        <v>11</v>
      </c>
      <c r="O105" s="69" t="s">
        <v>275</v>
      </c>
    </row>
    <row r="106" spans="1:15" s="29" customFormat="1" ht="48" x14ac:dyDescent="0.3">
      <c r="A106" s="26"/>
      <c r="B106" s="26" t="s">
        <v>6</v>
      </c>
      <c r="C106" s="26" t="s">
        <v>272</v>
      </c>
      <c r="D106" s="68" t="s">
        <v>817</v>
      </c>
      <c r="E106" s="26" t="s">
        <v>2</v>
      </c>
      <c r="F106" s="26">
        <v>45750</v>
      </c>
      <c r="G106" s="85" t="s">
        <v>273</v>
      </c>
      <c r="H106" s="27">
        <v>0</v>
      </c>
      <c r="I106" s="27">
        <v>4</v>
      </c>
      <c r="J106" s="27">
        <v>0</v>
      </c>
      <c r="K106" s="27">
        <v>0</v>
      </c>
      <c r="L106" s="27">
        <v>4</v>
      </c>
      <c r="M106" s="28" t="s">
        <v>259</v>
      </c>
      <c r="N106" s="28" t="s">
        <v>11</v>
      </c>
      <c r="O106" s="69" t="s">
        <v>819</v>
      </c>
    </row>
    <row r="107" spans="1:15" s="29" customFormat="1" ht="84" x14ac:dyDescent="0.3">
      <c r="A107" s="82"/>
      <c r="B107" s="82" t="s">
        <v>20</v>
      </c>
      <c r="C107" s="82" t="s">
        <v>444</v>
      </c>
      <c r="D107" s="82" t="s">
        <v>12</v>
      </c>
      <c r="E107" s="82" t="s">
        <v>14</v>
      </c>
      <c r="F107" s="82">
        <v>45751</v>
      </c>
      <c r="G107" s="78" t="s">
        <v>445</v>
      </c>
      <c r="H107" s="77">
        <v>30</v>
      </c>
      <c r="I107" s="77">
        <v>5</v>
      </c>
      <c r="J107" s="77">
        <v>10</v>
      </c>
      <c r="K107" s="77">
        <v>0</v>
      </c>
      <c r="L107" s="77">
        <v>45</v>
      </c>
      <c r="M107" s="78" t="s">
        <v>447</v>
      </c>
      <c r="N107" s="78" t="s">
        <v>11</v>
      </c>
      <c r="O107" s="78" t="s">
        <v>446</v>
      </c>
    </row>
    <row r="108" spans="1:15" s="29" customFormat="1" ht="72" x14ac:dyDescent="0.3">
      <c r="A108" s="82"/>
      <c r="B108" s="82" t="s">
        <v>1</v>
      </c>
      <c r="C108" s="82" t="s">
        <v>316</v>
      </c>
      <c r="D108" s="82" t="s">
        <v>817</v>
      </c>
      <c r="E108" s="82" t="s">
        <v>2</v>
      </c>
      <c r="F108" s="82" t="s">
        <v>318</v>
      </c>
      <c r="G108" s="71" t="s">
        <v>31</v>
      </c>
      <c r="H108" s="83">
        <v>0</v>
      </c>
      <c r="I108" s="83">
        <v>27</v>
      </c>
      <c r="J108" s="83">
        <v>81</v>
      </c>
      <c r="K108" s="83">
        <v>10</v>
      </c>
      <c r="L108" s="83">
        <v>118</v>
      </c>
      <c r="M108" s="71" t="s">
        <v>26</v>
      </c>
      <c r="N108" s="71" t="s">
        <v>11</v>
      </c>
      <c r="O108" s="71" t="s">
        <v>317</v>
      </c>
    </row>
    <row r="109" spans="1:15" s="29" customFormat="1" ht="60" x14ac:dyDescent="0.3">
      <c r="A109" s="76"/>
      <c r="B109" s="82" t="s">
        <v>20</v>
      </c>
      <c r="C109" s="82" t="s">
        <v>448</v>
      </c>
      <c r="D109" s="82" t="s">
        <v>817</v>
      </c>
      <c r="E109" s="82" t="s">
        <v>14</v>
      </c>
      <c r="F109" s="82">
        <v>45754</v>
      </c>
      <c r="G109" s="85" t="s">
        <v>3</v>
      </c>
      <c r="H109" s="77">
        <v>3</v>
      </c>
      <c r="I109" s="77">
        <v>12</v>
      </c>
      <c r="J109" s="77">
        <v>25</v>
      </c>
      <c r="K109" s="77">
        <v>0</v>
      </c>
      <c r="L109" s="77">
        <v>40</v>
      </c>
      <c r="M109" s="78" t="s">
        <v>447</v>
      </c>
      <c r="N109" s="78" t="s">
        <v>11</v>
      </c>
      <c r="O109" s="78" t="s">
        <v>449</v>
      </c>
    </row>
    <row r="110" spans="1:15" s="29" customFormat="1" ht="36" x14ac:dyDescent="0.3">
      <c r="A110" s="72"/>
      <c r="B110" s="82" t="s">
        <v>38</v>
      </c>
      <c r="C110" s="82" t="s">
        <v>441</v>
      </c>
      <c r="D110" s="82" t="s">
        <v>23</v>
      </c>
      <c r="E110" s="82" t="s">
        <v>2</v>
      </c>
      <c r="F110" s="82">
        <v>45756</v>
      </c>
      <c r="G110" s="75" t="s">
        <v>532</v>
      </c>
      <c r="H110" s="54">
        <v>0</v>
      </c>
      <c r="I110" s="54">
        <v>10</v>
      </c>
      <c r="J110" s="54">
        <v>10</v>
      </c>
      <c r="K110" s="54">
        <v>0</v>
      </c>
      <c r="L110" s="54">
        <v>20</v>
      </c>
      <c r="M110" s="75" t="s">
        <v>442</v>
      </c>
      <c r="N110" s="75" t="s">
        <v>11</v>
      </c>
      <c r="O110" s="75" t="s">
        <v>443</v>
      </c>
    </row>
    <row r="111" spans="1:15" s="29" customFormat="1" ht="72" x14ac:dyDescent="0.3">
      <c r="A111" s="76"/>
      <c r="B111" s="82" t="s">
        <v>20</v>
      </c>
      <c r="C111" s="82" t="s">
        <v>451</v>
      </c>
      <c r="D111" s="82" t="s">
        <v>12</v>
      </c>
      <c r="E111" s="82" t="s">
        <v>14</v>
      </c>
      <c r="F111" s="82">
        <v>45757</v>
      </c>
      <c r="G111" s="78" t="s">
        <v>452</v>
      </c>
      <c r="H111" s="77">
        <v>7</v>
      </c>
      <c r="I111" s="77">
        <v>0</v>
      </c>
      <c r="J111" s="77">
        <v>0</v>
      </c>
      <c r="K111" s="77">
        <v>0</v>
      </c>
      <c r="L111" s="77">
        <v>7</v>
      </c>
      <c r="M111" s="78" t="s">
        <v>454</v>
      </c>
      <c r="N111" s="78" t="s">
        <v>11</v>
      </c>
      <c r="O111" s="78" t="s">
        <v>453</v>
      </c>
    </row>
    <row r="112" spans="1:15" s="29" customFormat="1" ht="72" x14ac:dyDescent="0.3">
      <c r="A112" s="82"/>
      <c r="B112" s="82" t="s">
        <v>1</v>
      </c>
      <c r="C112" s="82" t="s">
        <v>319</v>
      </c>
      <c r="D112" s="82" t="s">
        <v>817</v>
      </c>
      <c r="E112" s="82" t="s">
        <v>2</v>
      </c>
      <c r="F112" s="82" t="s">
        <v>450</v>
      </c>
      <c r="G112" s="71" t="s">
        <v>31</v>
      </c>
      <c r="H112" s="83">
        <v>0</v>
      </c>
      <c r="I112" s="83">
        <v>30</v>
      </c>
      <c r="J112" s="83">
        <v>35</v>
      </c>
      <c r="K112" s="83">
        <v>0</v>
      </c>
      <c r="L112" s="83">
        <v>65</v>
      </c>
      <c r="M112" s="71" t="s">
        <v>26</v>
      </c>
      <c r="N112" s="71" t="s">
        <v>11</v>
      </c>
      <c r="O112" s="71" t="s">
        <v>320</v>
      </c>
    </row>
    <row r="113" spans="1:15" s="29" customFormat="1" ht="36" x14ac:dyDescent="0.3">
      <c r="A113" s="26"/>
      <c r="B113" s="82" t="s">
        <v>0</v>
      </c>
      <c r="C113" s="82" t="s">
        <v>283</v>
      </c>
      <c r="D113" s="82" t="s">
        <v>817</v>
      </c>
      <c r="E113" s="82" t="s">
        <v>2</v>
      </c>
      <c r="F113" s="82">
        <v>45758</v>
      </c>
      <c r="G113" s="85" t="s">
        <v>3</v>
      </c>
      <c r="H113" s="27">
        <v>0</v>
      </c>
      <c r="I113" s="27">
        <v>0</v>
      </c>
      <c r="J113" s="27">
        <v>16</v>
      </c>
      <c r="K113" s="27">
        <v>1</v>
      </c>
      <c r="L113" s="27">
        <v>16</v>
      </c>
      <c r="M113" s="28" t="s">
        <v>284</v>
      </c>
      <c r="N113" s="71" t="s">
        <v>11</v>
      </c>
      <c r="O113" s="28" t="s">
        <v>289</v>
      </c>
    </row>
    <row r="114" spans="1:15" s="29" customFormat="1" ht="156" x14ac:dyDescent="0.3">
      <c r="A114" s="82"/>
      <c r="B114" s="82" t="s">
        <v>20</v>
      </c>
      <c r="C114" s="82" t="s">
        <v>286</v>
      </c>
      <c r="D114" s="82" t="s">
        <v>35</v>
      </c>
      <c r="E114" s="82" t="s">
        <v>2</v>
      </c>
      <c r="F114" s="82" t="s">
        <v>287</v>
      </c>
      <c r="G114" s="71" t="s">
        <v>288</v>
      </c>
      <c r="H114" s="83">
        <v>5</v>
      </c>
      <c r="I114" s="83">
        <v>1</v>
      </c>
      <c r="J114" s="83">
        <v>9</v>
      </c>
      <c r="K114" s="83">
        <v>0</v>
      </c>
      <c r="L114" s="83">
        <f>SUM(H114:K114)</f>
        <v>15</v>
      </c>
      <c r="M114" s="71" t="s">
        <v>4</v>
      </c>
      <c r="N114" s="71" t="s">
        <v>16</v>
      </c>
      <c r="O114" s="71" t="s">
        <v>290</v>
      </c>
    </row>
    <row r="115" spans="1:15" s="29" customFormat="1" ht="36" x14ac:dyDescent="0.3">
      <c r="A115" s="26"/>
      <c r="B115" s="82" t="s">
        <v>0</v>
      </c>
      <c r="C115" s="82" t="s">
        <v>285</v>
      </c>
      <c r="D115" s="82" t="s">
        <v>817</v>
      </c>
      <c r="E115" s="82" t="s">
        <v>2</v>
      </c>
      <c r="F115" s="82">
        <v>45761</v>
      </c>
      <c r="G115" s="85" t="s">
        <v>3</v>
      </c>
      <c r="H115" s="27">
        <v>0</v>
      </c>
      <c r="I115" s="27">
        <v>1</v>
      </c>
      <c r="J115" s="27">
        <v>8</v>
      </c>
      <c r="K115" s="27">
        <v>0</v>
      </c>
      <c r="L115" s="27">
        <v>9</v>
      </c>
      <c r="M115" s="28" t="s">
        <v>227</v>
      </c>
      <c r="N115" s="71" t="s">
        <v>11</v>
      </c>
      <c r="O115" s="28" t="s">
        <v>368</v>
      </c>
    </row>
    <row r="116" spans="1:15" s="29" customFormat="1" ht="72" x14ac:dyDescent="0.3">
      <c r="A116" s="82"/>
      <c r="B116" s="82" t="s">
        <v>1</v>
      </c>
      <c r="C116" s="82" t="s">
        <v>321</v>
      </c>
      <c r="D116" s="82" t="s">
        <v>817</v>
      </c>
      <c r="E116" s="82" t="s">
        <v>2</v>
      </c>
      <c r="F116" s="82" t="s">
        <v>323</v>
      </c>
      <c r="G116" s="71" t="s">
        <v>31</v>
      </c>
      <c r="H116" s="83">
        <v>0</v>
      </c>
      <c r="I116" s="83">
        <v>39</v>
      </c>
      <c r="J116" s="83">
        <v>58</v>
      </c>
      <c r="K116" s="83">
        <v>10</v>
      </c>
      <c r="L116" s="83">
        <v>107</v>
      </c>
      <c r="M116" s="71" t="s">
        <v>26</v>
      </c>
      <c r="N116" s="71" t="s">
        <v>11</v>
      </c>
      <c r="O116" s="71" t="s">
        <v>322</v>
      </c>
    </row>
    <row r="117" spans="1:15" s="29" customFormat="1" ht="96" x14ac:dyDescent="0.3">
      <c r="A117" s="72"/>
      <c r="B117" s="82" t="s">
        <v>0</v>
      </c>
      <c r="C117" s="82" t="s">
        <v>292</v>
      </c>
      <c r="D117" s="82" t="s">
        <v>817</v>
      </c>
      <c r="E117" s="82" t="s">
        <v>2</v>
      </c>
      <c r="F117" s="82">
        <v>45762</v>
      </c>
      <c r="G117" s="85" t="s">
        <v>3</v>
      </c>
      <c r="H117" s="54">
        <v>14</v>
      </c>
      <c r="I117" s="54">
        <v>160</v>
      </c>
      <c r="J117" s="54">
        <v>581</v>
      </c>
      <c r="K117" s="54">
        <v>14</v>
      </c>
      <c r="L117" s="54">
        <v>765</v>
      </c>
      <c r="M117" s="71" t="s">
        <v>296</v>
      </c>
      <c r="N117" s="71" t="s">
        <v>11</v>
      </c>
      <c r="O117" s="71" t="s">
        <v>297</v>
      </c>
    </row>
    <row r="118" spans="1:15" s="29" customFormat="1" ht="96" x14ac:dyDescent="0.3">
      <c r="A118" s="72"/>
      <c r="B118" s="82" t="s">
        <v>0</v>
      </c>
      <c r="C118" s="82" t="s">
        <v>293</v>
      </c>
      <c r="D118" s="82" t="s">
        <v>817</v>
      </c>
      <c r="E118" s="82" t="s">
        <v>2</v>
      </c>
      <c r="F118" s="82">
        <v>45763</v>
      </c>
      <c r="G118" s="85" t="s">
        <v>3</v>
      </c>
      <c r="H118" s="54">
        <v>32</v>
      </c>
      <c r="I118" s="54">
        <v>341</v>
      </c>
      <c r="J118" s="54">
        <v>742</v>
      </c>
      <c r="K118" s="54">
        <v>30</v>
      </c>
      <c r="L118" s="54">
        <v>1135</v>
      </c>
      <c r="M118" s="71" t="s">
        <v>296</v>
      </c>
      <c r="N118" s="71" t="s">
        <v>11</v>
      </c>
      <c r="O118" s="71" t="s">
        <v>298</v>
      </c>
    </row>
    <row r="119" spans="1:15" s="29" customFormat="1" ht="96" x14ac:dyDescent="0.3">
      <c r="A119" s="72"/>
      <c r="B119" s="82" t="s">
        <v>0</v>
      </c>
      <c r="C119" s="82" t="s">
        <v>294</v>
      </c>
      <c r="D119" s="82" t="s">
        <v>817</v>
      </c>
      <c r="E119" s="82" t="s">
        <v>2</v>
      </c>
      <c r="F119" s="82">
        <v>45764</v>
      </c>
      <c r="G119" s="85" t="s">
        <v>3</v>
      </c>
      <c r="H119" s="83">
        <v>9</v>
      </c>
      <c r="I119" s="54">
        <v>210</v>
      </c>
      <c r="J119" s="54">
        <v>562</v>
      </c>
      <c r="K119" s="54">
        <v>22</v>
      </c>
      <c r="L119" s="54">
        <v>794</v>
      </c>
      <c r="M119" s="85" t="s">
        <v>296</v>
      </c>
      <c r="N119" s="71" t="s">
        <v>11</v>
      </c>
      <c r="O119" s="71" t="s">
        <v>299</v>
      </c>
    </row>
    <row r="120" spans="1:15" s="29" customFormat="1" ht="111.75" customHeight="1" x14ac:dyDescent="0.3">
      <c r="A120" s="72"/>
      <c r="B120" s="82" t="s">
        <v>0</v>
      </c>
      <c r="C120" s="82" t="s">
        <v>295</v>
      </c>
      <c r="D120" s="82" t="s">
        <v>817</v>
      </c>
      <c r="E120" s="82" t="s">
        <v>2</v>
      </c>
      <c r="F120" s="82">
        <v>45765</v>
      </c>
      <c r="G120" s="85" t="s">
        <v>3</v>
      </c>
      <c r="H120" s="54">
        <v>20</v>
      </c>
      <c r="I120" s="54">
        <v>56</v>
      </c>
      <c r="J120" s="54">
        <v>564</v>
      </c>
      <c r="K120" s="54">
        <v>10</v>
      </c>
      <c r="L120" s="54">
        <v>640</v>
      </c>
      <c r="M120" s="71" t="s">
        <v>296</v>
      </c>
      <c r="N120" s="71" t="s">
        <v>11</v>
      </c>
      <c r="O120" s="71" t="s">
        <v>300</v>
      </c>
    </row>
    <row r="121" spans="1:15" s="29" customFormat="1" ht="72" x14ac:dyDescent="0.3">
      <c r="A121" s="82"/>
      <c r="B121" s="82" t="s">
        <v>1</v>
      </c>
      <c r="C121" s="82" t="s">
        <v>324</v>
      </c>
      <c r="D121" s="82" t="s">
        <v>817</v>
      </c>
      <c r="E121" s="82" t="s">
        <v>2</v>
      </c>
      <c r="F121" s="82" t="s">
        <v>325</v>
      </c>
      <c r="G121" s="71" t="s">
        <v>31</v>
      </c>
      <c r="H121" s="83">
        <v>0</v>
      </c>
      <c r="I121" s="83">
        <v>30</v>
      </c>
      <c r="J121" s="83">
        <v>77</v>
      </c>
      <c r="K121" s="83">
        <v>10</v>
      </c>
      <c r="L121" s="83">
        <v>117</v>
      </c>
      <c r="M121" s="71" t="s">
        <v>26</v>
      </c>
      <c r="N121" s="71" t="s">
        <v>11</v>
      </c>
      <c r="O121" s="71" t="s">
        <v>476</v>
      </c>
    </row>
    <row r="122" spans="1:15" s="29" customFormat="1" ht="111.75" customHeight="1" x14ac:dyDescent="0.3">
      <c r="A122" s="84"/>
      <c r="B122" s="73" t="s">
        <v>1</v>
      </c>
      <c r="C122" s="84" t="s">
        <v>301</v>
      </c>
      <c r="D122" s="73" t="s">
        <v>817</v>
      </c>
      <c r="E122" s="73" t="s">
        <v>2</v>
      </c>
      <c r="F122" s="73">
        <v>45766</v>
      </c>
      <c r="G122" s="71" t="s">
        <v>40</v>
      </c>
      <c r="H122" s="54">
        <v>40</v>
      </c>
      <c r="I122" s="54">
        <v>10</v>
      </c>
      <c r="J122" s="54">
        <v>30</v>
      </c>
      <c r="K122" s="54">
        <v>40</v>
      </c>
      <c r="L122" s="54">
        <f>SUM(H122:K122)</f>
        <v>120</v>
      </c>
      <c r="M122" s="71" t="s">
        <v>41</v>
      </c>
      <c r="N122" s="71" t="s">
        <v>11</v>
      </c>
      <c r="O122" s="71" t="s">
        <v>336</v>
      </c>
    </row>
    <row r="123" spans="1:15" s="29" customFormat="1" ht="343.5" customHeight="1" x14ac:dyDescent="0.3">
      <c r="A123" s="84"/>
      <c r="B123" s="73" t="s">
        <v>20</v>
      </c>
      <c r="C123" s="73" t="s">
        <v>435</v>
      </c>
      <c r="D123" s="73" t="s">
        <v>817</v>
      </c>
      <c r="E123" s="73" t="s">
        <v>2</v>
      </c>
      <c r="F123" s="73">
        <v>45768</v>
      </c>
      <c r="G123" s="85" t="s">
        <v>3</v>
      </c>
      <c r="H123" s="54">
        <v>23</v>
      </c>
      <c r="I123" s="54">
        <v>76</v>
      </c>
      <c r="J123" s="54">
        <v>87</v>
      </c>
      <c r="K123" s="54">
        <v>0</v>
      </c>
      <c r="L123" s="54">
        <v>186</v>
      </c>
      <c r="M123" s="75" t="s">
        <v>436</v>
      </c>
      <c r="N123" s="75" t="s">
        <v>11</v>
      </c>
      <c r="O123" s="75" t="s">
        <v>437</v>
      </c>
    </row>
    <row r="124" spans="1:15" s="29" customFormat="1" ht="111.75" customHeight="1" x14ac:dyDescent="0.3">
      <c r="A124" s="72"/>
      <c r="B124" s="73" t="s">
        <v>0</v>
      </c>
      <c r="C124" s="73" t="s">
        <v>302</v>
      </c>
      <c r="D124" s="73" t="s">
        <v>817</v>
      </c>
      <c r="E124" s="73" t="s">
        <v>14</v>
      </c>
      <c r="F124" s="73">
        <v>45768</v>
      </c>
      <c r="G124" s="85" t="s">
        <v>3</v>
      </c>
      <c r="H124" s="54">
        <v>0</v>
      </c>
      <c r="I124" s="54">
        <v>2</v>
      </c>
      <c r="J124" s="54">
        <v>10</v>
      </c>
      <c r="K124" s="54">
        <v>0</v>
      </c>
      <c r="L124" s="54">
        <v>12</v>
      </c>
      <c r="M124" s="71" t="s">
        <v>303</v>
      </c>
      <c r="N124" s="71" t="s">
        <v>30</v>
      </c>
      <c r="O124" s="71" t="s">
        <v>369</v>
      </c>
    </row>
    <row r="125" spans="1:15" s="29" customFormat="1" ht="111.75" customHeight="1" x14ac:dyDescent="0.3">
      <c r="A125" s="72"/>
      <c r="B125" s="84" t="s">
        <v>17</v>
      </c>
      <c r="C125" s="84" t="s">
        <v>304</v>
      </c>
      <c r="D125" s="84" t="s">
        <v>816</v>
      </c>
      <c r="E125" s="84" t="s">
        <v>2</v>
      </c>
      <c r="F125" s="84">
        <v>45768</v>
      </c>
      <c r="G125" s="85" t="s">
        <v>3</v>
      </c>
      <c r="H125" s="54">
        <v>0</v>
      </c>
      <c r="I125" s="54">
        <v>0</v>
      </c>
      <c r="J125" s="54">
        <v>4</v>
      </c>
      <c r="K125" s="54">
        <v>0</v>
      </c>
      <c r="L125" s="54">
        <v>4</v>
      </c>
      <c r="M125" s="71" t="s">
        <v>25</v>
      </c>
      <c r="N125" s="71" t="s">
        <v>30</v>
      </c>
      <c r="O125" s="71" t="s">
        <v>305</v>
      </c>
    </row>
    <row r="126" spans="1:15" s="29" customFormat="1" ht="318.75" customHeight="1" x14ac:dyDescent="0.3">
      <c r="A126" s="72"/>
      <c r="B126" s="84" t="s">
        <v>20</v>
      </c>
      <c r="C126" s="84" t="s">
        <v>438</v>
      </c>
      <c r="D126" s="84" t="s">
        <v>817</v>
      </c>
      <c r="E126" s="84" t="s">
        <v>2</v>
      </c>
      <c r="F126" s="84">
        <v>45769</v>
      </c>
      <c r="G126" s="85" t="s">
        <v>3</v>
      </c>
      <c r="H126" s="54">
        <v>18</v>
      </c>
      <c r="I126" s="54">
        <v>65</v>
      </c>
      <c r="J126" s="54">
        <v>87</v>
      </c>
      <c r="K126" s="54">
        <v>15</v>
      </c>
      <c r="L126" s="54">
        <v>185</v>
      </c>
      <c r="M126" s="75" t="s">
        <v>439</v>
      </c>
      <c r="N126" s="75" t="s">
        <v>11</v>
      </c>
      <c r="O126" s="75" t="s">
        <v>440</v>
      </c>
    </row>
    <row r="127" spans="1:15" s="29" customFormat="1" ht="24" x14ac:dyDescent="0.3">
      <c r="A127" s="72"/>
      <c r="B127" s="84" t="s">
        <v>0</v>
      </c>
      <c r="C127" s="84" t="s">
        <v>306</v>
      </c>
      <c r="D127" s="84" t="s">
        <v>816</v>
      </c>
      <c r="E127" s="84" t="s">
        <v>2</v>
      </c>
      <c r="F127" s="84">
        <v>45769</v>
      </c>
      <c r="G127" s="71" t="s">
        <v>533</v>
      </c>
      <c r="H127" s="54">
        <v>0</v>
      </c>
      <c r="I127" s="54">
        <v>10</v>
      </c>
      <c r="J127" s="54">
        <v>10</v>
      </c>
      <c r="K127" s="54">
        <v>0</v>
      </c>
      <c r="L127" s="54">
        <v>20</v>
      </c>
      <c r="M127" s="71" t="s">
        <v>308</v>
      </c>
      <c r="N127" s="71" t="s">
        <v>30</v>
      </c>
      <c r="O127" s="71" t="s">
        <v>307</v>
      </c>
    </row>
    <row r="128" spans="1:15" s="29" customFormat="1" ht="24" x14ac:dyDescent="0.3">
      <c r="A128" s="72"/>
      <c r="B128" s="84" t="s">
        <v>0</v>
      </c>
      <c r="C128" s="84" t="s">
        <v>306</v>
      </c>
      <c r="D128" s="84" t="s">
        <v>816</v>
      </c>
      <c r="E128" s="84" t="s">
        <v>2</v>
      </c>
      <c r="F128" s="84">
        <v>45769</v>
      </c>
      <c r="G128" s="85" t="s">
        <v>533</v>
      </c>
      <c r="H128" s="54">
        <v>0</v>
      </c>
      <c r="I128" s="54">
        <v>10</v>
      </c>
      <c r="J128" s="54">
        <v>10</v>
      </c>
      <c r="K128" s="54">
        <v>0</v>
      </c>
      <c r="L128" s="54">
        <v>20</v>
      </c>
      <c r="M128" s="71" t="s">
        <v>308</v>
      </c>
      <c r="N128" s="71" t="s">
        <v>30</v>
      </c>
      <c r="O128" s="71" t="s">
        <v>307</v>
      </c>
    </row>
    <row r="129" spans="1:15" s="29" customFormat="1" ht="111.75" customHeight="1" x14ac:dyDescent="0.3">
      <c r="A129" s="72"/>
      <c r="B129" s="84" t="s">
        <v>1</v>
      </c>
      <c r="C129" s="84" t="s">
        <v>332</v>
      </c>
      <c r="D129" s="84" t="s">
        <v>816</v>
      </c>
      <c r="E129" s="84" t="s">
        <v>2</v>
      </c>
      <c r="F129" s="84">
        <v>45769</v>
      </c>
      <c r="G129" s="71" t="s">
        <v>31</v>
      </c>
      <c r="H129" s="54">
        <v>0</v>
      </c>
      <c r="I129" s="54">
        <v>3</v>
      </c>
      <c r="J129" s="54">
        <v>4</v>
      </c>
      <c r="K129" s="54">
        <v>2</v>
      </c>
      <c r="L129" s="54">
        <v>9</v>
      </c>
      <c r="M129" s="71" t="s">
        <v>26</v>
      </c>
      <c r="N129" s="71" t="s">
        <v>30</v>
      </c>
      <c r="O129" s="71" t="s">
        <v>333</v>
      </c>
    </row>
    <row r="130" spans="1:15" s="29" customFormat="1" ht="111.75" customHeight="1" x14ac:dyDescent="0.3">
      <c r="A130" s="82"/>
      <c r="B130" s="84" t="s">
        <v>0</v>
      </c>
      <c r="C130" s="84" t="s">
        <v>473</v>
      </c>
      <c r="D130" s="84" t="s">
        <v>816</v>
      </c>
      <c r="E130" s="84" t="s">
        <v>2</v>
      </c>
      <c r="F130" s="84">
        <v>45770</v>
      </c>
      <c r="G130" s="85" t="s">
        <v>3</v>
      </c>
      <c r="H130" s="83">
        <v>35</v>
      </c>
      <c r="I130" s="83">
        <v>197</v>
      </c>
      <c r="J130" s="83">
        <v>498</v>
      </c>
      <c r="K130" s="83">
        <v>34</v>
      </c>
      <c r="L130" s="83">
        <f>SUM(H130:K130)</f>
        <v>764</v>
      </c>
      <c r="M130" s="85" t="s">
        <v>18</v>
      </c>
      <c r="N130" s="85" t="s">
        <v>30</v>
      </c>
      <c r="O130" s="85" t="s">
        <v>474</v>
      </c>
    </row>
    <row r="131" spans="1:15" s="29" customFormat="1" ht="111.75" customHeight="1" x14ac:dyDescent="0.3">
      <c r="A131" s="82"/>
      <c r="B131" s="73" t="s">
        <v>1</v>
      </c>
      <c r="C131" s="73" t="s">
        <v>334</v>
      </c>
      <c r="D131" s="73" t="s">
        <v>816</v>
      </c>
      <c r="E131" s="73" t="s">
        <v>2</v>
      </c>
      <c r="F131" s="73">
        <v>45770</v>
      </c>
      <c r="G131" s="71" t="s">
        <v>31</v>
      </c>
      <c r="H131" s="54">
        <v>0</v>
      </c>
      <c r="I131" s="54">
        <v>5</v>
      </c>
      <c r="J131" s="54">
        <v>11</v>
      </c>
      <c r="K131" s="54">
        <v>2</v>
      </c>
      <c r="L131" s="54">
        <v>18</v>
      </c>
      <c r="M131" s="71" t="s">
        <v>26</v>
      </c>
      <c r="N131" s="71" t="s">
        <v>30</v>
      </c>
      <c r="O131" s="71" t="s">
        <v>335</v>
      </c>
    </row>
    <row r="132" spans="1:15" s="29" customFormat="1" ht="111.75" customHeight="1" x14ac:dyDescent="0.3">
      <c r="A132" s="82"/>
      <c r="B132" s="73" t="s">
        <v>1</v>
      </c>
      <c r="C132" s="73" t="s">
        <v>328</v>
      </c>
      <c r="D132" s="73" t="s">
        <v>816</v>
      </c>
      <c r="E132" s="73" t="s">
        <v>2</v>
      </c>
      <c r="F132" s="73">
        <v>45770</v>
      </c>
      <c r="G132" s="71" t="s">
        <v>31</v>
      </c>
      <c r="H132" s="54">
        <v>0</v>
      </c>
      <c r="I132" s="54">
        <v>2</v>
      </c>
      <c r="J132" s="54">
        <v>14</v>
      </c>
      <c r="K132" s="54">
        <v>2</v>
      </c>
      <c r="L132" s="54">
        <v>18</v>
      </c>
      <c r="M132" s="71" t="s">
        <v>26</v>
      </c>
      <c r="N132" s="71" t="s">
        <v>30</v>
      </c>
      <c r="O132" s="71" t="s">
        <v>329</v>
      </c>
    </row>
    <row r="133" spans="1:15" s="29" customFormat="1" ht="111.75" customHeight="1" x14ac:dyDescent="0.3">
      <c r="A133" s="82"/>
      <c r="B133" s="73" t="s">
        <v>1</v>
      </c>
      <c r="C133" s="73" t="s">
        <v>330</v>
      </c>
      <c r="D133" s="73" t="s">
        <v>816</v>
      </c>
      <c r="E133" s="73" t="s">
        <v>2</v>
      </c>
      <c r="F133" s="73">
        <v>45771</v>
      </c>
      <c r="G133" s="71" t="s">
        <v>31</v>
      </c>
      <c r="H133" s="54">
        <v>0</v>
      </c>
      <c r="I133" s="54">
        <v>2</v>
      </c>
      <c r="J133" s="54">
        <v>8</v>
      </c>
      <c r="K133" s="54">
        <v>2</v>
      </c>
      <c r="L133" s="54">
        <v>12</v>
      </c>
      <c r="M133" s="71" t="s">
        <v>26</v>
      </c>
      <c r="N133" s="71" t="s">
        <v>30</v>
      </c>
      <c r="O133" s="71" t="s">
        <v>331</v>
      </c>
    </row>
    <row r="134" spans="1:15" s="29" customFormat="1" ht="111.75" customHeight="1" x14ac:dyDescent="0.3">
      <c r="A134" s="82"/>
      <c r="B134" s="84" t="s">
        <v>28</v>
      </c>
      <c r="C134" s="84" t="s">
        <v>337</v>
      </c>
      <c r="D134" s="84" t="s">
        <v>817</v>
      </c>
      <c r="E134" s="84" t="s">
        <v>338</v>
      </c>
      <c r="F134" s="84" t="s">
        <v>820</v>
      </c>
      <c r="G134" s="85" t="s">
        <v>3</v>
      </c>
      <c r="H134" s="83">
        <v>0</v>
      </c>
      <c r="I134" s="83">
        <v>0</v>
      </c>
      <c r="J134" s="83">
        <v>10</v>
      </c>
      <c r="K134" s="83">
        <v>0</v>
      </c>
      <c r="L134" s="83">
        <v>10</v>
      </c>
      <c r="M134" s="71" t="s">
        <v>340</v>
      </c>
      <c r="N134" s="71" t="s">
        <v>11</v>
      </c>
      <c r="O134" s="71" t="s">
        <v>341</v>
      </c>
    </row>
    <row r="135" spans="1:15" s="29" customFormat="1" ht="111.75" customHeight="1" x14ac:dyDescent="0.3">
      <c r="A135" s="72"/>
      <c r="B135" s="84" t="s">
        <v>0</v>
      </c>
      <c r="C135" s="84" t="s">
        <v>391</v>
      </c>
      <c r="D135" s="84" t="s">
        <v>23</v>
      </c>
      <c r="E135" s="84" t="s">
        <v>14</v>
      </c>
      <c r="F135" s="84">
        <v>45771</v>
      </c>
      <c r="G135" s="10" t="s">
        <v>392</v>
      </c>
      <c r="H135" s="86">
        <v>0</v>
      </c>
      <c r="I135" s="54">
        <v>40</v>
      </c>
      <c r="J135" s="54">
        <v>60</v>
      </c>
      <c r="K135" s="54">
        <v>0</v>
      </c>
      <c r="L135" s="54">
        <v>100</v>
      </c>
      <c r="M135" s="83" t="s">
        <v>296</v>
      </c>
      <c r="N135" s="71" t="s">
        <v>16</v>
      </c>
      <c r="O135" s="71" t="s">
        <v>390</v>
      </c>
    </row>
    <row r="136" spans="1:15" s="29" customFormat="1" ht="111.75" customHeight="1" x14ac:dyDescent="0.3">
      <c r="A136" s="72"/>
      <c r="B136" s="84" t="s">
        <v>1</v>
      </c>
      <c r="C136" s="84" t="s">
        <v>326</v>
      </c>
      <c r="D136" s="84" t="s">
        <v>816</v>
      </c>
      <c r="E136" s="84" t="s">
        <v>2</v>
      </c>
      <c r="F136" s="84">
        <v>45772</v>
      </c>
      <c r="G136" s="71" t="s">
        <v>31</v>
      </c>
      <c r="H136" s="54">
        <v>0</v>
      </c>
      <c r="I136" s="54">
        <v>2</v>
      </c>
      <c r="J136" s="54">
        <v>15</v>
      </c>
      <c r="K136" s="54">
        <v>2</v>
      </c>
      <c r="L136" s="54">
        <v>19</v>
      </c>
      <c r="M136" s="71" t="s">
        <v>26</v>
      </c>
      <c r="N136" s="71" t="s">
        <v>30</v>
      </c>
      <c r="O136" s="71" t="s">
        <v>327</v>
      </c>
    </row>
    <row r="137" spans="1:15" s="29" customFormat="1" ht="111.75" customHeight="1" x14ac:dyDescent="0.3">
      <c r="A137" s="72"/>
      <c r="B137" s="72" t="s">
        <v>28</v>
      </c>
      <c r="C137" s="84" t="s">
        <v>345</v>
      </c>
      <c r="D137" s="84" t="s">
        <v>817</v>
      </c>
      <c r="E137" s="84" t="s">
        <v>2</v>
      </c>
      <c r="F137" s="84">
        <v>45772</v>
      </c>
      <c r="G137" s="85" t="s">
        <v>3</v>
      </c>
      <c r="H137" s="54">
        <v>0</v>
      </c>
      <c r="I137" s="54">
        <v>2</v>
      </c>
      <c r="J137" s="54">
        <v>15</v>
      </c>
      <c r="K137" s="54">
        <v>7</v>
      </c>
      <c r="L137" s="54">
        <v>24</v>
      </c>
      <c r="M137" s="71" t="s">
        <v>163</v>
      </c>
      <c r="N137" s="71" t="s">
        <v>30</v>
      </c>
      <c r="O137" s="71" t="s">
        <v>346</v>
      </c>
    </row>
    <row r="138" spans="1:15" s="29" customFormat="1" ht="72" x14ac:dyDescent="0.3">
      <c r="A138" s="82"/>
      <c r="B138" s="73" t="s">
        <v>6</v>
      </c>
      <c r="C138" s="80" t="s">
        <v>393</v>
      </c>
      <c r="D138" s="73" t="s">
        <v>817</v>
      </c>
      <c r="E138" s="73" t="s">
        <v>2</v>
      </c>
      <c r="F138" s="73">
        <v>45772</v>
      </c>
      <c r="G138" s="85" t="s">
        <v>3</v>
      </c>
      <c r="H138" s="54">
        <v>35</v>
      </c>
      <c r="I138" s="54">
        <v>110</v>
      </c>
      <c r="J138" s="54">
        <v>385</v>
      </c>
      <c r="K138" s="54">
        <v>55</v>
      </c>
      <c r="L138" s="54">
        <v>585</v>
      </c>
      <c r="M138" s="71" t="s">
        <v>447</v>
      </c>
      <c r="N138" s="71" t="s">
        <v>30</v>
      </c>
      <c r="O138" s="71" t="s">
        <v>455</v>
      </c>
    </row>
    <row r="139" spans="1:15" s="29" customFormat="1" ht="36" x14ac:dyDescent="0.3">
      <c r="A139" s="72"/>
      <c r="B139" s="73" t="s">
        <v>0</v>
      </c>
      <c r="C139" s="73" t="s">
        <v>357</v>
      </c>
      <c r="D139" s="73" t="s">
        <v>12</v>
      </c>
      <c r="E139" s="73" t="s">
        <v>2</v>
      </c>
      <c r="F139" s="73">
        <v>45772</v>
      </c>
      <c r="G139" s="10" t="s">
        <v>392</v>
      </c>
      <c r="H139" s="54">
        <v>6</v>
      </c>
      <c r="I139" s="54">
        <v>27</v>
      </c>
      <c r="J139" s="54">
        <v>58</v>
      </c>
      <c r="K139" s="54">
        <v>0</v>
      </c>
      <c r="L139" s="54">
        <f>SUM(H139:K139)</f>
        <v>91</v>
      </c>
      <c r="M139" s="71" t="s">
        <v>296</v>
      </c>
      <c r="N139" s="71" t="s">
        <v>16</v>
      </c>
      <c r="O139" s="71" t="s">
        <v>475</v>
      </c>
    </row>
    <row r="140" spans="1:15" s="29" customFormat="1" ht="111.75" customHeight="1" x14ac:dyDescent="0.3">
      <c r="A140" s="72"/>
      <c r="B140" s="73" t="s">
        <v>20</v>
      </c>
      <c r="C140" s="73" t="s">
        <v>375</v>
      </c>
      <c r="D140" s="73" t="s">
        <v>816</v>
      </c>
      <c r="E140" s="73" t="s">
        <v>2</v>
      </c>
      <c r="F140" s="73">
        <v>45773</v>
      </c>
      <c r="G140" s="85" t="s">
        <v>3</v>
      </c>
      <c r="H140" s="54">
        <v>0</v>
      </c>
      <c r="I140" s="54">
        <v>21</v>
      </c>
      <c r="J140" s="54">
        <v>66</v>
      </c>
      <c r="K140" s="54">
        <v>0</v>
      </c>
      <c r="L140" s="54">
        <v>87</v>
      </c>
      <c r="M140" s="71" t="s">
        <v>7</v>
      </c>
      <c r="N140" s="71" t="s">
        <v>30</v>
      </c>
      <c r="O140" s="71" t="s">
        <v>377</v>
      </c>
    </row>
    <row r="141" spans="1:15" s="29" customFormat="1" ht="409.5" customHeight="1" x14ac:dyDescent="0.3">
      <c r="A141" s="84"/>
      <c r="B141" s="84" t="s">
        <v>6</v>
      </c>
      <c r="C141" s="84" t="s">
        <v>477</v>
      </c>
      <c r="D141" s="84" t="s">
        <v>35</v>
      </c>
      <c r="E141" s="84" t="s">
        <v>2</v>
      </c>
      <c r="F141" s="84" t="s">
        <v>478</v>
      </c>
      <c r="G141" s="85" t="s">
        <v>534</v>
      </c>
      <c r="H141" s="83">
        <v>335</v>
      </c>
      <c r="I141" s="83">
        <v>496</v>
      </c>
      <c r="J141" s="83">
        <v>854</v>
      </c>
      <c r="K141" s="83">
        <v>268</v>
      </c>
      <c r="L141" s="83">
        <f>SUM(H141:K141)</f>
        <v>1953</v>
      </c>
      <c r="M141" s="13" t="s">
        <v>291</v>
      </c>
      <c r="N141" s="71" t="s">
        <v>11</v>
      </c>
      <c r="O141" s="85" t="s">
        <v>479</v>
      </c>
    </row>
    <row r="142" spans="1:15" s="29" customFormat="1" ht="111.75" customHeight="1" x14ac:dyDescent="0.3">
      <c r="A142" s="82"/>
      <c r="B142" s="84" t="s">
        <v>20</v>
      </c>
      <c r="C142" s="84" t="s">
        <v>356</v>
      </c>
      <c r="D142" s="84" t="s">
        <v>33</v>
      </c>
      <c r="E142" s="84" t="s">
        <v>2</v>
      </c>
      <c r="F142" s="84" t="s">
        <v>354</v>
      </c>
      <c r="G142" s="35" t="s">
        <v>355</v>
      </c>
      <c r="H142" s="83">
        <v>0</v>
      </c>
      <c r="I142" s="83">
        <v>0</v>
      </c>
      <c r="J142" s="83">
        <v>11</v>
      </c>
      <c r="K142" s="83">
        <v>0</v>
      </c>
      <c r="L142" s="83">
        <f>SUM(H142:K142)</f>
        <v>11</v>
      </c>
      <c r="M142" s="35" t="s">
        <v>4</v>
      </c>
      <c r="N142" s="35" t="s">
        <v>16</v>
      </c>
      <c r="O142" s="85" t="s">
        <v>480</v>
      </c>
    </row>
    <row r="143" spans="1:15" s="29" customFormat="1" ht="72" x14ac:dyDescent="0.3">
      <c r="A143" s="82"/>
      <c r="B143" s="82" t="s">
        <v>32</v>
      </c>
      <c r="C143" s="82" t="s">
        <v>386</v>
      </c>
      <c r="D143" s="82" t="s">
        <v>35</v>
      </c>
      <c r="E143" s="82" t="s">
        <v>2</v>
      </c>
      <c r="F143" s="82" t="s">
        <v>388</v>
      </c>
      <c r="G143" s="71" t="s">
        <v>387</v>
      </c>
      <c r="H143" s="83">
        <v>1</v>
      </c>
      <c r="I143" s="83">
        <v>1</v>
      </c>
      <c r="J143" s="83">
        <v>18</v>
      </c>
      <c r="K143" s="83">
        <v>0</v>
      </c>
      <c r="L143" s="83">
        <v>20</v>
      </c>
      <c r="M143" s="71" t="s">
        <v>26</v>
      </c>
      <c r="N143" s="71" t="s">
        <v>16</v>
      </c>
      <c r="O143" s="71" t="s">
        <v>389</v>
      </c>
    </row>
    <row r="144" spans="1:15" s="14" customFormat="1" ht="90" customHeight="1" x14ac:dyDescent="0.3">
      <c r="A144" s="11"/>
      <c r="B144" s="11" t="s">
        <v>0</v>
      </c>
      <c r="C144" s="11" t="s">
        <v>344</v>
      </c>
      <c r="D144" s="11" t="s">
        <v>817</v>
      </c>
      <c r="E144" s="11" t="s">
        <v>2</v>
      </c>
      <c r="F144" s="11">
        <v>45775</v>
      </c>
      <c r="G144" s="85" t="s">
        <v>3</v>
      </c>
      <c r="H144" s="5">
        <v>0</v>
      </c>
      <c r="I144" s="5">
        <v>3</v>
      </c>
      <c r="J144" s="5">
        <v>11</v>
      </c>
      <c r="K144" s="5">
        <v>1</v>
      </c>
      <c r="L144" s="5">
        <v>15</v>
      </c>
      <c r="M144" s="13" t="s">
        <v>823</v>
      </c>
      <c r="N144" s="13" t="s">
        <v>11</v>
      </c>
      <c r="O144" s="13" t="s">
        <v>370</v>
      </c>
    </row>
    <row r="145" spans="1:15" s="29" customFormat="1" ht="72" x14ac:dyDescent="0.3">
      <c r="A145" s="72"/>
      <c r="B145" s="72" t="s">
        <v>122</v>
      </c>
      <c r="C145" s="72" t="s">
        <v>351</v>
      </c>
      <c r="D145" s="72" t="s">
        <v>817</v>
      </c>
      <c r="E145" s="72" t="s">
        <v>2</v>
      </c>
      <c r="F145" s="72">
        <v>45777</v>
      </c>
      <c r="G145" s="85" t="s">
        <v>3</v>
      </c>
      <c r="H145" s="54">
        <v>0</v>
      </c>
      <c r="I145" s="54">
        <v>1</v>
      </c>
      <c r="J145" s="54">
        <v>9</v>
      </c>
      <c r="K145" s="54">
        <v>0</v>
      </c>
      <c r="L145" s="54">
        <v>19</v>
      </c>
      <c r="M145" s="71" t="s">
        <v>62</v>
      </c>
      <c r="N145" s="71" t="s">
        <v>11</v>
      </c>
      <c r="O145" s="71" t="s">
        <v>347</v>
      </c>
    </row>
    <row r="146" spans="1:15" s="29" customFormat="1" ht="48" x14ac:dyDescent="0.3">
      <c r="A146" s="33"/>
      <c r="B146" s="33" t="s">
        <v>32</v>
      </c>
      <c r="C146" s="33" t="s">
        <v>420</v>
      </c>
      <c r="D146" s="33" t="s">
        <v>816</v>
      </c>
      <c r="E146" s="33" t="s">
        <v>2</v>
      </c>
      <c r="F146" s="33">
        <v>45781</v>
      </c>
      <c r="G146" s="35" t="s">
        <v>535</v>
      </c>
      <c r="H146" s="34">
        <v>1</v>
      </c>
      <c r="I146" s="34">
        <v>0</v>
      </c>
      <c r="J146" s="34">
        <v>17</v>
      </c>
      <c r="K146" s="34">
        <v>0</v>
      </c>
      <c r="L146" s="34">
        <v>18</v>
      </c>
      <c r="M146" s="85" t="s">
        <v>70</v>
      </c>
      <c r="N146" s="35" t="s">
        <v>30</v>
      </c>
      <c r="O146" s="35" t="s">
        <v>350</v>
      </c>
    </row>
    <row r="147" spans="1:15" s="29" customFormat="1" ht="186.75" customHeight="1" x14ac:dyDescent="0.3">
      <c r="A147" s="72"/>
      <c r="B147" s="72" t="s">
        <v>6</v>
      </c>
      <c r="C147" s="72" t="s">
        <v>456</v>
      </c>
      <c r="D147" s="72" t="s">
        <v>816</v>
      </c>
      <c r="E147" s="72" t="s">
        <v>2</v>
      </c>
      <c r="F147" s="72">
        <v>45782</v>
      </c>
      <c r="G147" s="85" t="s">
        <v>3</v>
      </c>
      <c r="H147" s="54">
        <v>0</v>
      </c>
      <c r="I147" s="54">
        <v>55</v>
      </c>
      <c r="J147" s="54">
        <v>145</v>
      </c>
      <c r="K147" s="54">
        <v>10</v>
      </c>
      <c r="L147" s="54">
        <v>210</v>
      </c>
      <c r="M147" s="71" t="s">
        <v>447</v>
      </c>
      <c r="N147" s="71" t="s">
        <v>30</v>
      </c>
      <c r="O147" s="85" t="s">
        <v>481</v>
      </c>
    </row>
    <row r="148" spans="1:15" s="29" customFormat="1" ht="84" x14ac:dyDescent="0.3">
      <c r="A148" s="33"/>
      <c r="B148" s="33" t="s">
        <v>28</v>
      </c>
      <c r="C148" s="33" t="s">
        <v>342</v>
      </c>
      <c r="D148" s="33" t="s">
        <v>817</v>
      </c>
      <c r="E148" s="33" t="s">
        <v>2</v>
      </c>
      <c r="F148" s="33">
        <v>45783</v>
      </c>
      <c r="G148" s="85" t="s">
        <v>3</v>
      </c>
      <c r="H148" s="34">
        <v>1</v>
      </c>
      <c r="I148" s="34">
        <v>0</v>
      </c>
      <c r="J148" s="34">
        <v>15</v>
      </c>
      <c r="K148" s="34">
        <v>0</v>
      </c>
      <c r="L148" s="34">
        <v>16</v>
      </c>
      <c r="M148" s="35" t="s">
        <v>340</v>
      </c>
      <c r="N148" s="35" t="s">
        <v>11</v>
      </c>
      <c r="O148" s="35" t="s">
        <v>343</v>
      </c>
    </row>
    <row r="149" spans="1:15" s="29" customFormat="1" ht="132" x14ac:dyDescent="0.3">
      <c r="A149" s="72"/>
      <c r="B149" s="72" t="s">
        <v>6</v>
      </c>
      <c r="C149" s="72" t="s">
        <v>353</v>
      </c>
      <c r="D149" s="72" t="s">
        <v>817</v>
      </c>
      <c r="E149" s="72" t="s">
        <v>2</v>
      </c>
      <c r="F149" s="72">
        <v>45783</v>
      </c>
      <c r="G149" s="85" t="s">
        <v>3</v>
      </c>
      <c r="H149" s="54">
        <v>0</v>
      </c>
      <c r="I149" s="54">
        <v>60</v>
      </c>
      <c r="J149" s="54">
        <v>150</v>
      </c>
      <c r="K149" s="54">
        <v>15</v>
      </c>
      <c r="L149" s="54">
        <v>225</v>
      </c>
      <c r="M149" s="78" t="s">
        <v>447</v>
      </c>
      <c r="N149" s="71" t="s">
        <v>11</v>
      </c>
      <c r="O149" s="71" t="s">
        <v>482</v>
      </c>
    </row>
    <row r="150" spans="1:15" s="29" customFormat="1" ht="107.25" customHeight="1" x14ac:dyDescent="0.3">
      <c r="A150" s="84"/>
      <c r="B150" s="84" t="s">
        <v>6</v>
      </c>
      <c r="C150" s="84" t="s">
        <v>109</v>
      </c>
      <c r="D150" s="84" t="s">
        <v>817</v>
      </c>
      <c r="E150" s="84" t="s">
        <v>2</v>
      </c>
      <c r="F150" s="84">
        <v>45784</v>
      </c>
      <c r="G150" s="85" t="s">
        <v>3</v>
      </c>
      <c r="H150" s="83">
        <v>48</v>
      </c>
      <c r="I150" s="83">
        <v>24</v>
      </c>
      <c r="J150" s="83">
        <v>42</v>
      </c>
      <c r="K150" s="83">
        <v>9</v>
      </c>
      <c r="L150" s="83">
        <f>SUM(H150:K150)</f>
        <v>123</v>
      </c>
      <c r="M150" s="85" t="s">
        <v>4</v>
      </c>
      <c r="N150" s="85" t="s">
        <v>11</v>
      </c>
      <c r="O150" s="85" t="s">
        <v>484</v>
      </c>
    </row>
    <row r="151" spans="1:15" s="29" customFormat="1" ht="147" customHeight="1" x14ac:dyDescent="0.3">
      <c r="A151" s="84"/>
      <c r="B151" s="84" t="s">
        <v>6</v>
      </c>
      <c r="C151" s="84" t="s">
        <v>487</v>
      </c>
      <c r="D151" s="84" t="s">
        <v>817</v>
      </c>
      <c r="E151" s="84" t="s">
        <v>2</v>
      </c>
      <c r="F151" s="84">
        <v>45784</v>
      </c>
      <c r="G151" s="85" t="s">
        <v>3</v>
      </c>
      <c r="H151" s="83">
        <v>48</v>
      </c>
      <c r="I151" s="83">
        <v>64</v>
      </c>
      <c r="J151" s="83">
        <v>186</v>
      </c>
      <c r="K151" s="83">
        <v>19</v>
      </c>
      <c r="L151" s="83">
        <f>SUM(H151:K151)</f>
        <v>317</v>
      </c>
      <c r="M151" s="85" t="s">
        <v>4</v>
      </c>
      <c r="N151" s="85" t="s">
        <v>11</v>
      </c>
      <c r="O151" s="85" t="s">
        <v>485</v>
      </c>
    </row>
    <row r="152" spans="1:15" s="29" customFormat="1" ht="336" x14ac:dyDescent="0.3">
      <c r="A152" s="84"/>
      <c r="B152" s="84" t="s">
        <v>6</v>
      </c>
      <c r="C152" s="84" t="s">
        <v>483</v>
      </c>
      <c r="D152" s="84" t="s">
        <v>23</v>
      </c>
      <c r="E152" s="84" t="s">
        <v>2</v>
      </c>
      <c r="F152" s="84">
        <v>45784</v>
      </c>
      <c r="G152" s="85" t="s">
        <v>3</v>
      </c>
      <c r="H152" s="83">
        <v>90</v>
      </c>
      <c r="I152" s="83">
        <v>95</v>
      </c>
      <c r="J152" s="83">
        <v>345</v>
      </c>
      <c r="K152" s="83">
        <v>26</v>
      </c>
      <c r="L152" s="83">
        <f>SUM(H152:K152)</f>
        <v>556</v>
      </c>
      <c r="M152" s="85" t="s">
        <v>4</v>
      </c>
      <c r="N152" s="85" t="s">
        <v>19</v>
      </c>
      <c r="O152" s="85" t="s">
        <v>486</v>
      </c>
    </row>
    <row r="153" spans="1:15" s="29" customFormat="1" ht="60" x14ac:dyDescent="0.3">
      <c r="A153" s="33"/>
      <c r="B153" s="33" t="s">
        <v>1</v>
      </c>
      <c r="C153" s="33" t="s">
        <v>367</v>
      </c>
      <c r="D153" s="33" t="s">
        <v>817</v>
      </c>
      <c r="E153" s="33" t="s">
        <v>14</v>
      </c>
      <c r="F153" s="33">
        <v>45784</v>
      </c>
      <c r="G153" s="85" t="s">
        <v>3</v>
      </c>
      <c r="H153" s="34">
        <v>0</v>
      </c>
      <c r="I153" s="34">
        <v>3</v>
      </c>
      <c r="J153" s="34">
        <v>7</v>
      </c>
      <c r="K153" s="34">
        <v>1</v>
      </c>
      <c r="L153" s="34">
        <v>11</v>
      </c>
      <c r="M153" s="71" t="s">
        <v>227</v>
      </c>
      <c r="N153" s="71" t="s">
        <v>11</v>
      </c>
      <c r="O153" s="78" t="s">
        <v>371</v>
      </c>
    </row>
    <row r="154" spans="1:15" s="29" customFormat="1" ht="72" x14ac:dyDescent="0.3">
      <c r="A154" s="82"/>
      <c r="B154" s="82" t="s">
        <v>1</v>
      </c>
      <c r="C154" s="82" t="s">
        <v>378</v>
      </c>
      <c r="D154" s="82" t="s">
        <v>379</v>
      </c>
      <c r="E154" s="82" t="s">
        <v>14</v>
      </c>
      <c r="F154" s="82" t="s">
        <v>380</v>
      </c>
      <c r="G154" s="85" t="s">
        <v>493</v>
      </c>
      <c r="H154" s="83">
        <v>2</v>
      </c>
      <c r="I154" s="83">
        <v>7</v>
      </c>
      <c r="J154" s="83">
        <v>11</v>
      </c>
      <c r="K154" s="83">
        <v>2</v>
      </c>
      <c r="L154" s="83">
        <v>22</v>
      </c>
      <c r="M154" s="71" t="s">
        <v>26</v>
      </c>
      <c r="N154" s="71" t="s">
        <v>16</v>
      </c>
      <c r="O154" s="78" t="s">
        <v>381</v>
      </c>
    </row>
    <row r="155" spans="1:15" s="29" customFormat="1" ht="60" x14ac:dyDescent="0.3">
      <c r="A155" s="33"/>
      <c r="B155" s="72" t="s">
        <v>0</v>
      </c>
      <c r="C155" s="33" t="s">
        <v>373</v>
      </c>
      <c r="D155" s="33" t="s">
        <v>816</v>
      </c>
      <c r="E155" s="33" t="s">
        <v>2</v>
      </c>
      <c r="F155" s="33">
        <v>45790</v>
      </c>
      <c r="G155" s="85" t="s">
        <v>3</v>
      </c>
      <c r="H155" s="34">
        <v>1</v>
      </c>
      <c r="I155" s="34">
        <v>3</v>
      </c>
      <c r="J155" s="34">
        <v>5</v>
      </c>
      <c r="K155" s="34">
        <v>0</v>
      </c>
      <c r="L155" s="34">
        <v>29</v>
      </c>
      <c r="M155" s="85" t="s">
        <v>374</v>
      </c>
      <c r="N155" s="71" t="s">
        <v>11</v>
      </c>
      <c r="O155" s="78" t="s">
        <v>372</v>
      </c>
    </row>
    <row r="156" spans="1:15" s="29" customFormat="1" ht="84" x14ac:dyDescent="0.3">
      <c r="A156" s="72"/>
      <c r="B156" s="72" t="s">
        <v>20</v>
      </c>
      <c r="C156" s="72" t="s">
        <v>394</v>
      </c>
      <c r="D156" s="72" t="s">
        <v>816</v>
      </c>
      <c r="E156" s="72" t="s">
        <v>2</v>
      </c>
      <c r="F156" s="72">
        <v>45790</v>
      </c>
      <c r="G156" s="85" t="s">
        <v>3</v>
      </c>
      <c r="H156" s="54" t="s">
        <v>43</v>
      </c>
      <c r="I156" s="54">
        <v>0</v>
      </c>
      <c r="J156" s="54">
        <v>30</v>
      </c>
      <c r="K156" s="54" t="s">
        <v>43</v>
      </c>
      <c r="L156" s="54">
        <v>30</v>
      </c>
      <c r="M156" s="71" t="s">
        <v>41</v>
      </c>
      <c r="N156" s="71" t="s">
        <v>11</v>
      </c>
      <c r="O156" s="78" t="s">
        <v>395</v>
      </c>
    </row>
    <row r="157" spans="1:15" s="29" customFormat="1" ht="60" x14ac:dyDescent="0.3">
      <c r="A157" s="33"/>
      <c r="B157" s="72" t="s">
        <v>1</v>
      </c>
      <c r="C157" s="72" t="s">
        <v>367</v>
      </c>
      <c r="D157" s="33" t="s">
        <v>817</v>
      </c>
      <c r="E157" s="33" t="s">
        <v>14</v>
      </c>
      <c r="F157" s="33">
        <v>45791</v>
      </c>
      <c r="G157" s="85" t="s">
        <v>3</v>
      </c>
      <c r="H157" s="34">
        <v>0</v>
      </c>
      <c r="I157" s="34">
        <v>3</v>
      </c>
      <c r="J157" s="34">
        <v>8</v>
      </c>
      <c r="K157" s="34">
        <v>1</v>
      </c>
      <c r="L157" s="34">
        <v>12</v>
      </c>
      <c r="M157" s="71" t="s">
        <v>227</v>
      </c>
      <c r="N157" s="71" t="s">
        <v>11</v>
      </c>
      <c r="O157" s="78" t="s">
        <v>371</v>
      </c>
    </row>
    <row r="158" spans="1:15" s="29" customFormat="1" ht="162.75" customHeight="1" x14ac:dyDescent="0.3">
      <c r="A158" s="84"/>
      <c r="B158" s="84" t="s">
        <v>36</v>
      </c>
      <c r="C158" s="84" t="s">
        <v>401</v>
      </c>
      <c r="D158" s="84" t="s">
        <v>12</v>
      </c>
      <c r="E158" s="84" t="s">
        <v>14</v>
      </c>
      <c r="F158" s="84">
        <v>45792</v>
      </c>
      <c r="G158" s="85" t="s">
        <v>273</v>
      </c>
      <c r="H158" s="54">
        <v>150</v>
      </c>
      <c r="I158" s="54">
        <v>0</v>
      </c>
      <c r="J158" s="54">
        <v>15</v>
      </c>
      <c r="K158" s="54">
        <v>0</v>
      </c>
      <c r="L158" s="54">
        <f>SUM(H158:K158)</f>
        <v>165</v>
      </c>
      <c r="M158" s="74" t="s">
        <v>67</v>
      </c>
      <c r="N158" s="85" t="s">
        <v>11</v>
      </c>
      <c r="O158" s="78" t="s">
        <v>489</v>
      </c>
    </row>
    <row r="159" spans="1:15" s="29" customFormat="1" ht="60" x14ac:dyDescent="0.3">
      <c r="A159" s="82"/>
      <c r="B159" s="84" t="s">
        <v>0</v>
      </c>
      <c r="C159" s="84" t="s">
        <v>488</v>
      </c>
      <c r="D159" s="84" t="s">
        <v>817</v>
      </c>
      <c r="E159" s="84" t="s">
        <v>2</v>
      </c>
      <c r="F159" s="84">
        <v>45792</v>
      </c>
      <c r="G159" s="85" t="s">
        <v>3</v>
      </c>
      <c r="H159" s="83">
        <v>19</v>
      </c>
      <c r="I159" s="83">
        <v>196</v>
      </c>
      <c r="J159" s="83">
        <v>324</v>
      </c>
      <c r="K159" s="83">
        <v>17</v>
      </c>
      <c r="L159" s="83">
        <f>SUM(H159:K159)</f>
        <v>556</v>
      </c>
      <c r="M159" s="85" t="s">
        <v>4</v>
      </c>
      <c r="N159" s="85" t="s">
        <v>11</v>
      </c>
      <c r="O159" s="85" t="s">
        <v>490</v>
      </c>
    </row>
    <row r="160" spans="1:15" s="29" customFormat="1" ht="108" x14ac:dyDescent="0.3">
      <c r="A160" s="72"/>
      <c r="B160" s="84" t="s">
        <v>0</v>
      </c>
      <c r="C160" s="84" t="s">
        <v>404</v>
      </c>
      <c r="D160" s="84" t="s">
        <v>817</v>
      </c>
      <c r="E160" s="84" t="s">
        <v>2</v>
      </c>
      <c r="F160" s="84">
        <v>45792</v>
      </c>
      <c r="G160" s="85" t="s">
        <v>3</v>
      </c>
      <c r="H160" s="54">
        <v>3</v>
      </c>
      <c r="I160" s="54">
        <v>5</v>
      </c>
      <c r="J160" s="54">
        <v>12</v>
      </c>
      <c r="K160" s="54">
        <v>1</v>
      </c>
      <c r="L160" s="54">
        <v>21</v>
      </c>
      <c r="M160" s="75" t="s">
        <v>823</v>
      </c>
      <c r="N160" s="75" t="s">
        <v>11</v>
      </c>
      <c r="O160" s="78" t="s">
        <v>405</v>
      </c>
    </row>
    <row r="161" spans="1:15" s="29" customFormat="1" ht="36" x14ac:dyDescent="0.3">
      <c r="A161" s="72"/>
      <c r="B161" s="84" t="s">
        <v>0</v>
      </c>
      <c r="C161" s="84" t="s">
        <v>407</v>
      </c>
      <c r="D161" s="84" t="s">
        <v>817</v>
      </c>
      <c r="E161" s="84" t="s">
        <v>2</v>
      </c>
      <c r="F161" s="84">
        <v>45792</v>
      </c>
      <c r="G161" s="85" t="s">
        <v>3</v>
      </c>
      <c r="H161" s="54">
        <v>3</v>
      </c>
      <c r="I161" s="54">
        <v>5</v>
      </c>
      <c r="J161" s="54">
        <v>12</v>
      </c>
      <c r="K161" s="54">
        <v>1</v>
      </c>
      <c r="L161" s="54">
        <v>21</v>
      </c>
      <c r="M161" s="85" t="s">
        <v>406</v>
      </c>
      <c r="N161" s="85" t="s">
        <v>11</v>
      </c>
      <c r="O161" s="85" t="s">
        <v>408</v>
      </c>
    </row>
    <row r="162" spans="1:15" s="29" customFormat="1" ht="48" x14ac:dyDescent="0.3">
      <c r="A162" s="72"/>
      <c r="B162" s="84" t="s">
        <v>39</v>
      </c>
      <c r="C162" s="84" t="s">
        <v>409</v>
      </c>
      <c r="D162" s="84" t="s">
        <v>817</v>
      </c>
      <c r="E162" s="84" t="s">
        <v>2</v>
      </c>
      <c r="F162" s="84">
        <v>45793</v>
      </c>
      <c r="G162" s="85" t="s">
        <v>3</v>
      </c>
      <c r="H162" s="54">
        <v>37</v>
      </c>
      <c r="I162" s="54">
        <v>2</v>
      </c>
      <c r="J162" s="54">
        <v>5</v>
      </c>
      <c r="K162" s="54">
        <v>0</v>
      </c>
      <c r="L162" s="54">
        <v>44</v>
      </c>
      <c r="M162" s="85" t="s">
        <v>411</v>
      </c>
      <c r="N162" s="85" t="s">
        <v>11</v>
      </c>
      <c r="O162" s="85" t="s">
        <v>412</v>
      </c>
    </row>
    <row r="163" spans="1:15" s="29" customFormat="1" ht="96" x14ac:dyDescent="0.3">
      <c r="A163" s="72"/>
      <c r="B163" s="72" t="s">
        <v>28</v>
      </c>
      <c r="C163" s="84" t="s">
        <v>413</v>
      </c>
      <c r="D163" s="84" t="s">
        <v>817</v>
      </c>
      <c r="E163" s="84" t="s">
        <v>2</v>
      </c>
      <c r="F163" s="84">
        <v>45793</v>
      </c>
      <c r="G163" s="85" t="s">
        <v>3</v>
      </c>
      <c r="H163" s="54">
        <v>0</v>
      </c>
      <c r="I163" s="54">
        <v>2</v>
      </c>
      <c r="J163" s="54">
        <v>28</v>
      </c>
      <c r="K163" s="54">
        <v>5</v>
      </c>
      <c r="L163" s="54">
        <v>30</v>
      </c>
      <c r="M163" s="85" t="s">
        <v>5</v>
      </c>
      <c r="N163" s="85" t="s">
        <v>11</v>
      </c>
      <c r="O163" s="85" t="s">
        <v>414</v>
      </c>
    </row>
    <row r="164" spans="1:15" s="29" customFormat="1" ht="108" x14ac:dyDescent="0.3">
      <c r="A164" s="82"/>
      <c r="B164" s="82" t="s">
        <v>1</v>
      </c>
      <c r="C164" s="82" t="s">
        <v>382</v>
      </c>
      <c r="D164" s="82" t="s">
        <v>379</v>
      </c>
      <c r="E164" s="82" t="s">
        <v>14</v>
      </c>
      <c r="F164" s="82" t="s">
        <v>384</v>
      </c>
      <c r="G164" s="35" t="s">
        <v>383</v>
      </c>
      <c r="H164" s="83">
        <v>0</v>
      </c>
      <c r="I164" s="83">
        <v>4</v>
      </c>
      <c r="J164" s="83">
        <v>6</v>
      </c>
      <c r="K164" s="83">
        <v>0</v>
      </c>
      <c r="L164" s="83">
        <v>10</v>
      </c>
      <c r="M164" s="85" t="s">
        <v>26</v>
      </c>
      <c r="N164" s="85" t="s">
        <v>16</v>
      </c>
      <c r="O164" s="85" t="s">
        <v>385</v>
      </c>
    </row>
    <row r="165" spans="1:15" s="29" customFormat="1" ht="84" x14ac:dyDescent="0.3">
      <c r="A165" s="72"/>
      <c r="B165" s="72" t="s">
        <v>36</v>
      </c>
      <c r="C165" s="72" t="s">
        <v>396</v>
      </c>
      <c r="D165" s="72" t="s">
        <v>816</v>
      </c>
      <c r="E165" s="72" t="s">
        <v>2</v>
      </c>
      <c r="F165" s="72">
        <v>45796</v>
      </c>
      <c r="G165" s="85" t="s">
        <v>3</v>
      </c>
      <c r="H165" s="54">
        <v>0</v>
      </c>
      <c r="I165" s="54">
        <v>0</v>
      </c>
      <c r="J165" s="54">
        <v>10</v>
      </c>
      <c r="K165" s="54">
        <v>0</v>
      </c>
      <c r="L165" s="54">
        <v>10</v>
      </c>
      <c r="M165" s="75" t="s">
        <v>41</v>
      </c>
      <c r="N165" s="85" t="s">
        <v>11</v>
      </c>
      <c r="O165" s="78" t="s">
        <v>395</v>
      </c>
    </row>
    <row r="166" spans="1:15" s="29" customFormat="1" ht="208.5" customHeight="1" x14ac:dyDescent="0.3">
      <c r="A166" s="72"/>
      <c r="B166" s="72" t="s">
        <v>0</v>
      </c>
      <c r="C166" s="72" t="s">
        <v>398</v>
      </c>
      <c r="D166" s="72" t="s">
        <v>816</v>
      </c>
      <c r="E166" s="72" t="s">
        <v>2</v>
      </c>
      <c r="F166" s="72">
        <v>45796</v>
      </c>
      <c r="G166" s="85" t="s">
        <v>3</v>
      </c>
      <c r="H166" s="54">
        <v>35</v>
      </c>
      <c r="I166" s="54">
        <v>0</v>
      </c>
      <c r="J166" s="54">
        <v>20</v>
      </c>
      <c r="K166" s="54">
        <v>0</v>
      </c>
      <c r="L166" s="54">
        <f>SUM(H166:K166)</f>
        <v>55</v>
      </c>
      <c r="M166" s="74" t="s">
        <v>399</v>
      </c>
      <c r="N166" s="85" t="s">
        <v>11</v>
      </c>
      <c r="O166" s="85" t="s">
        <v>400</v>
      </c>
    </row>
    <row r="167" spans="1:15" s="29" customFormat="1" ht="72" x14ac:dyDescent="0.3">
      <c r="A167" s="33"/>
      <c r="B167" s="33" t="s">
        <v>0</v>
      </c>
      <c r="C167" s="33" t="s">
        <v>362</v>
      </c>
      <c r="D167" s="33" t="s">
        <v>817</v>
      </c>
      <c r="E167" s="33" t="s">
        <v>2</v>
      </c>
      <c r="F167" s="33">
        <v>45797</v>
      </c>
      <c r="G167" s="85" t="s">
        <v>3</v>
      </c>
      <c r="H167" s="34">
        <v>20</v>
      </c>
      <c r="I167" s="34">
        <v>30</v>
      </c>
      <c r="J167" s="34">
        <v>100</v>
      </c>
      <c r="K167" s="34">
        <v>50</v>
      </c>
      <c r="L167" s="34">
        <v>200</v>
      </c>
      <c r="M167" s="71" t="s">
        <v>4</v>
      </c>
      <c r="N167" s="85" t="s">
        <v>11</v>
      </c>
      <c r="O167" s="85" t="s">
        <v>358</v>
      </c>
    </row>
    <row r="168" spans="1:15" s="29" customFormat="1" ht="120" x14ac:dyDescent="0.3">
      <c r="A168" s="33"/>
      <c r="B168" s="33" t="s">
        <v>28</v>
      </c>
      <c r="C168" s="33" t="s">
        <v>363</v>
      </c>
      <c r="D168" s="33" t="s">
        <v>33</v>
      </c>
      <c r="E168" s="33" t="s">
        <v>2</v>
      </c>
      <c r="F168" s="33">
        <v>45797</v>
      </c>
      <c r="G168" s="85" t="s">
        <v>359</v>
      </c>
      <c r="H168" s="34">
        <v>100</v>
      </c>
      <c r="I168" s="34">
        <v>0</v>
      </c>
      <c r="J168" s="34">
        <v>50</v>
      </c>
      <c r="K168" s="34">
        <v>0</v>
      </c>
      <c r="L168" s="34">
        <v>150</v>
      </c>
      <c r="M168" s="35" t="s">
        <v>360</v>
      </c>
      <c r="N168" s="85" t="s">
        <v>19</v>
      </c>
      <c r="O168" s="85" t="s">
        <v>366</v>
      </c>
    </row>
    <row r="169" spans="1:15" s="29" customFormat="1" ht="120" x14ac:dyDescent="0.3">
      <c r="A169" s="72"/>
      <c r="B169" s="72" t="s">
        <v>28</v>
      </c>
      <c r="C169" s="72" t="s">
        <v>415</v>
      </c>
      <c r="D169" s="72" t="s">
        <v>12</v>
      </c>
      <c r="E169" s="72" t="s">
        <v>2</v>
      </c>
      <c r="F169" s="72">
        <v>45797</v>
      </c>
      <c r="G169" s="85" t="s">
        <v>34</v>
      </c>
      <c r="H169" s="54">
        <v>0</v>
      </c>
      <c r="I169" s="54">
        <v>0</v>
      </c>
      <c r="J169" s="54">
        <v>13</v>
      </c>
      <c r="K169" s="54">
        <v>0</v>
      </c>
      <c r="L169" s="54">
        <v>13</v>
      </c>
      <c r="M169" s="85" t="s">
        <v>141</v>
      </c>
      <c r="N169" s="85" t="s">
        <v>16</v>
      </c>
      <c r="O169" s="85" t="s">
        <v>416</v>
      </c>
    </row>
    <row r="170" spans="1:15" s="29" customFormat="1" ht="48" x14ac:dyDescent="0.3">
      <c r="A170" s="33"/>
      <c r="B170" s="33" t="s">
        <v>0</v>
      </c>
      <c r="C170" s="33" t="s">
        <v>364</v>
      </c>
      <c r="D170" s="33" t="s">
        <v>817</v>
      </c>
      <c r="E170" s="33" t="s">
        <v>2</v>
      </c>
      <c r="F170" s="33">
        <v>45799</v>
      </c>
      <c r="G170" s="85" t="s">
        <v>3</v>
      </c>
      <c r="H170" s="34">
        <v>0</v>
      </c>
      <c r="I170" s="34">
        <v>50</v>
      </c>
      <c r="J170" s="34">
        <v>125</v>
      </c>
      <c r="K170" s="34">
        <v>25</v>
      </c>
      <c r="L170" s="34">
        <v>200</v>
      </c>
      <c r="M170" s="85" t="s">
        <v>365</v>
      </c>
      <c r="N170" s="85" t="s">
        <v>16</v>
      </c>
      <c r="O170" s="85" t="s">
        <v>361</v>
      </c>
    </row>
    <row r="171" spans="1:15" s="29" customFormat="1" ht="84" x14ac:dyDescent="0.3">
      <c r="A171" s="33"/>
      <c r="B171" s="33" t="s">
        <v>37</v>
      </c>
      <c r="C171" s="33" t="s">
        <v>397</v>
      </c>
      <c r="D171" s="72" t="s">
        <v>817</v>
      </c>
      <c r="E171" s="72" t="s">
        <v>2</v>
      </c>
      <c r="F171" s="33">
        <v>45799</v>
      </c>
      <c r="G171" s="85" t="s">
        <v>3</v>
      </c>
      <c r="H171" s="34" t="s">
        <v>43</v>
      </c>
      <c r="I171" s="34">
        <v>20</v>
      </c>
      <c r="J171" s="34"/>
      <c r="K171" s="34" t="s">
        <v>43</v>
      </c>
      <c r="L171" s="34">
        <v>20</v>
      </c>
      <c r="M171" s="85" t="s">
        <v>41</v>
      </c>
      <c r="N171" s="85" t="s">
        <v>11</v>
      </c>
      <c r="O171" s="85" t="s">
        <v>395</v>
      </c>
    </row>
    <row r="172" spans="1:15" s="29" customFormat="1" ht="24" x14ac:dyDescent="0.3">
      <c r="A172" s="72"/>
      <c r="B172" s="72" t="s">
        <v>39</v>
      </c>
      <c r="C172" s="72" t="s">
        <v>409</v>
      </c>
      <c r="D172" s="72" t="s">
        <v>817</v>
      </c>
      <c r="E172" s="72" t="s">
        <v>2</v>
      </c>
      <c r="F172" s="72">
        <v>45800</v>
      </c>
      <c r="G172" s="85" t="s">
        <v>3</v>
      </c>
      <c r="H172" s="54">
        <v>24</v>
      </c>
      <c r="I172" s="54">
        <v>0</v>
      </c>
      <c r="J172" s="54">
        <v>6</v>
      </c>
      <c r="K172" s="54">
        <v>0</v>
      </c>
      <c r="L172" s="54">
        <v>30</v>
      </c>
      <c r="M172" s="75" t="s">
        <v>410</v>
      </c>
      <c r="N172" s="85" t="s">
        <v>11</v>
      </c>
      <c r="O172" s="85" t="s">
        <v>417</v>
      </c>
    </row>
    <row r="173" spans="1:15" s="29" customFormat="1" ht="120" x14ac:dyDescent="0.3">
      <c r="A173" s="72"/>
      <c r="B173" s="72" t="s">
        <v>0</v>
      </c>
      <c r="C173" s="72" t="s">
        <v>427</v>
      </c>
      <c r="D173" s="72" t="s">
        <v>817</v>
      </c>
      <c r="E173" s="72" t="s">
        <v>2</v>
      </c>
      <c r="F173" s="72">
        <v>45800</v>
      </c>
      <c r="G173" s="85" t="s">
        <v>3</v>
      </c>
      <c r="H173" s="54">
        <v>0</v>
      </c>
      <c r="I173" s="54">
        <v>48</v>
      </c>
      <c r="J173" s="54">
        <v>84</v>
      </c>
      <c r="K173" s="54">
        <v>74</v>
      </c>
      <c r="L173" s="54">
        <v>206</v>
      </c>
      <c r="M173" s="85" t="s">
        <v>418</v>
      </c>
      <c r="N173" s="85" t="s">
        <v>11</v>
      </c>
      <c r="O173" s="85" t="s">
        <v>419</v>
      </c>
    </row>
    <row r="174" spans="1:15" s="29" customFormat="1" ht="140.25" customHeight="1" x14ac:dyDescent="0.3">
      <c r="A174" s="72"/>
      <c r="B174" s="72" t="s">
        <v>38</v>
      </c>
      <c r="C174" s="72" t="s">
        <v>427</v>
      </c>
      <c r="D174" s="72" t="s">
        <v>817</v>
      </c>
      <c r="E174" s="72" t="s">
        <v>2</v>
      </c>
      <c r="F174" s="72">
        <v>45800</v>
      </c>
      <c r="G174" s="85" t="s">
        <v>3</v>
      </c>
      <c r="H174" s="54">
        <v>0</v>
      </c>
      <c r="I174" s="54">
        <v>5</v>
      </c>
      <c r="J174" s="54">
        <v>5</v>
      </c>
      <c r="K174" s="54">
        <v>0</v>
      </c>
      <c r="L174" s="54">
        <v>10</v>
      </c>
      <c r="M174" s="85" t="s">
        <v>442</v>
      </c>
      <c r="N174" s="85" t="s">
        <v>19</v>
      </c>
      <c r="O174" s="85" t="s">
        <v>428</v>
      </c>
    </row>
    <row r="175" spans="1:15" s="29" customFormat="1" ht="36" x14ac:dyDescent="0.3">
      <c r="A175" s="72"/>
      <c r="B175" s="72" t="s">
        <v>348</v>
      </c>
      <c r="C175" s="72" t="s">
        <v>421</v>
      </c>
      <c r="D175" s="72" t="s">
        <v>817</v>
      </c>
      <c r="E175" s="72" t="s">
        <v>2</v>
      </c>
      <c r="F175" s="72">
        <v>45801</v>
      </c>
      <c r="G175" s="9" t="s">
        <v>21</v>
      </c>
      <c r="H175" s="54">
        <v>1</v>
      </c>
      <c r="I175" s="54">
        <v>0</v>
      </c>
      <c r="J175" s="54">
        <v>14</v>
      </c>
      <c r="K175" s="54">
        <v>0</v>
      </c>
      <c r="L175" s="54">
        <v>15</v>
      </c>
      <c r="M175" s="85" t="s">
        <v>70</v>
      </c>
      <c r="N175" s="85" t="s">
        <v>11</v>
      </c>
      <c r="O175" s="85" t="s">
        <v>457</v>
      </c>
    </row>
    <row r="176" spans="1:15" s="29" customFormat="1" ht="197.25" customHeight="1" x14ac:dyDescent="0.3">
      <c r="A176" s="82"/>
      <c r="B176" s="82" t="s">
        <v>1</v>
      </c>
      <c r="C176" s="82" t="s">
        <v>492</v>
      </c>
      <c r="D176" s="82" t="s">
        <v>33</v>
      </c>
      <c r="E176" s="82" t="s">
        <v>2</v>
      </c>
      <c r="F176" s="82" t="s">
        <v>491</v>
      </c>
      <c r="G176" s="85" t="s">
        <v>34</v>
      </c>
      <c r="H176" s="83">
        <v>155</v>
      </c>
      <c r="I176" s="83">
        <v>0</v>
      </c>
      <c r="J176" s="83">
        <v>10</v>
      </c>
      <c r="K176" s="83">
        <v>0</v>
      </c>
      <c r="L176" s="83">
        <f>SUM(H176:K176)</f>
        <v>165</v>
      </c>
      <c r="M176" s="85" t="s">
        <v>4</v>
      </c>
      <c r="N176" s="85" t="s">
        <v>11</v>
      </c>
      <c r="O176" s="85" t="s">
        <v>494</v>
      </c>
    </row>
    <row r="177" spans="1:15" s="29" customFormat="1" ht="120" x14ac:dyDescent="0.3">
      <c r="A177" s="72"/>
      <c r="B177" s="72" t="s">
        <v>422</v>
      </c>
      <c r="C177" s="72" t="s">
        <v>423</v>
      </c>
      <c r="D177" s="72" t="s">
        <v>35</v>
      </c>
      <c r="E177" s="72" t="s">
        <v>2</v>
      </c>
      <c r="F177" s="72">
        <v>45802</v>
      </c>
      <c r="G177" s="75" t="s">
        <v>424</v>
      </c>
      <c r="H177" s="54">
        <v>0</v>
      </c>
      <c r="I177" s="54">
        <v>3</v>
      </c>
      <c r="J177" s="54">
        <v>55</v>
      </c>
      <c r="K177" s="54">
        <v>0</v>
      </c>
      <c r="L177" s="54">
        <v>58</v>
      </c>
      <c r="M177" s="85" t="s">
        <v>4</v>
      </c>
      <c r="N177" s="85" t="s">
        <v>16</v>
      </c>
      <c r="O177" s="85" t="s">
        <v>498</v>
      </c>
    </row>
    <row r="178" spans="1:15" s="29" customFormat="1" ht="48" x14ac:dyDescent="0.3">
      <c r="A178" s="72"/>
      <c r="B178" s="72" t="s">
        <v>0</v>
      </c>
      <c r="C178" s="72" t="s">
        <v>425</v>
      </c>
      <c r="D178" s="72" t="s">
        <v>817</v>
      </c>
      <c r="E178" s="72" t="s">
        <v>2</v>
      </c>
      <c r="F178" s="72">
        <v>45804</v>
      </c>
      <c r="G178" s="85" t="s">
        <v>3</v>
      </c>
      <c r="H178" s="54">
        <v>0</v>
      </c>
      <c r="I178" s="54">
        <v>3</v>
      </c>
      <c r="J178" s="54">
        <v>21</v>
      </c>
      <c r="K178" s="54">
        <v>2</v>
      </c>
      <c r="L178" s="54">
        <v>24</v>
      </c>
      <c r="M178" s="85" t="s">
        <v>824</v>
      </c>
      <c r="N178" s="85" t="s">
        <v>11</v>
      </c>
      <c r="O178" s="85" t="s">
        <v>426</v>
      </c>
    </row>
    <row r="179" spans="1:15" s="29" customFormat="1" ht="72" x14ac:dyDescent="0.3">
      <c r="A179" s="72"/>
      <c r="B179" s="72" t="s">
        <v>38</v>
      </c>
      <c r="C179" s="72" t="s">
        <v>429</v>
      </c>
      <c r="D179" s="72" t="s">
        <v>12</v>
      </c>
      <c r="E179" s="72" t="s">
        <v>2</v>
      </c>
      <c r="F179" s="72">
        <v>45804</v>
      </c>
      <c r="G179" s="85" t="s">
        <v>430</v>
      </c>
      <c r="H179" s="54">
        <v>0</v>
      </c>
      <c r="I179" s="54">
        <v>5</v>
      </c>
      <c r="J179" s="54">
        <v>6</v>
      </c>
      <c r="K179" s="54">
        <v>0</v>
      </c>
      <c r="L179" s="54">
        <v>10</v>
      </c>
      <c r="M179" s="85" t="s">
        <v>442</v>
      </c>
      <c r="N179" s="85" t="s">
        <v>19</v>
      </c>
      <c r="O179" s="85" t="s">
        <v>431</v>
      </c>
    </row>
    <row r="180" spans="1:15" s="29" customFormat="1" ht="138" customHeight="1" x14ac:dyDescent="0.3">
      <c r="A180" s="72"/>
      <c r="B180" s="72" t="s">
        <v>38</v>
      </c>
      <c r="C180" s="72" t="s">
        <v>432</v>
      </c>
      <c r="D180" s="72" t="s">
        <v>817</v>
      </c>
      <c r="E180" s="72" t="s">
        <v>2</v>
      </c>
      <c r="F180" s="72">
        <v>45804</v>
      </c>
      <c r="G180" s="85" t="s">
        <v>3</v>
      </c>
      <c r="H180" s="54">
        <v>0</v>
      </c>
      <c r="I180" s="54">
        <v>10</v>
      </c>
      <c r="J180" s="54">
        <v>15</v>
      </c>
      <c r="K180" s="54">
        <v>1</v>
      </c>
      <c r="L180" s="54">
        <v>36</v>
      </c>
      <c r="M180" s="85" t="s">
        <v>442</v>
      </c>
      <c r="N180" s="85" t="s">
        <v>11</v>
      </c>
      <c r="O180" s="85" t="s">
        <v>433</v>
      </c>
    </row>
    <row r="181" spans="1:15" s="29" customFormat="1" ht="138" customHeight="1" x14ac:dyDescent="0.3">
      <c r="A181" s="82"/>
      <c r="B181" s="82" t="s">
        <v>6</v>
      </c>
      <c r="C181" s="82" t="s">
        <v>495</v>
      </c>
      <c r="D181" s="82" t="s">
        <v>817</v>
      </c>
      <c r="E181" s="82" t="s">
        <v>2</v>
      </c>
      <c r="F181" s="82">
        <v>45806</v>
      </c>
      <c r="G181" s="85" t="s">
        <v>3</v>
      </c>
      <c r="H181" s="83">
        <v>5</v>
      </c>
      <c r="I181" s="83">
        <v>7</v>
      </c>
      <c r="J181" s="83">
        <v>3</v>
      </c>
      <c r="K181" s="83">
        <v>0</v>
      </c>
      <c r="L181" s="83">
        <f>SUM(H181:K181)</f>
        <v>15</v>
      </c>
      <c r="M181" s="85" t="s">
        <v>497</v>
      </c>
      <c r="N181" s="85" t="s">
        <v>11</v>
      </c>
      <c r="O181" s="85" t="s">
        <v>496</v>
      </c>
    </row>
    <row r="182" spans="1:15" s="29" customFormat="1" ht="172.5" customHeight="1" x14ac:dyDescent="0.3">
      <c r="A182" s="72"/>
      <c r="B182" s="72" t="s">
        <v>38</v>
      </c>
      <c r="C182" s="82" t="s">
        <v>495</v>
      </c>
      <c r="D182" s="72" t="s">
        <v>817</v>
      </c>
      <c r="E182" s="72" t="s">
        <v>2</v>
      </c>
      <c r="F182" s="72">
        <v>45806</v>
      </c>
      <c r="G182" s="85" t="s">
        <v>3</v>
      </c>
      <c r="H182" s="54">
        <v>0</v>
      </c>
      <c r="I182" s="54">
        <v>7</v>
      </c>
      <c r="J182" s="54">
        <v>3</v>
      </c>
      <c r="K182" s="54">
        <v>0</v>
      </c>
      <c r="L182" s="54">
        <v>10</v>
      </c>
      <c r="M182" s="85" t="s">
        <v>442</v>
      </c>
      <c r="N182" s="85" t="s">
        <v>19</v>
      </c>
      <c r="O182" s="78" t="s">
        <v>434</v>
      </c>
    </row>
    <row r="183" spans="1:15" s="29" customFormat="1" ht="72" x14ac:dyDescent="0.3">
      <c r="A183" s="33"/>
      <c r="B183" s="33" t="s">
        <v>0</v>
      </c>
      <c r="C183" s="33" t="s">
        <v>402</v>
      </c>
      <c r="D183" s="33" t="s">
        <v>817</v>
      </c>
      <c r="E183" s="33" t="s">
        <v>2</v>
      </c>
      <c r="F183" s="33">
        <v>45808</v>
      </c>
      <c r="G183" s="85" t="s">
        <v>3</v>
      </c>
      <c r="H183" s="34">
        <v>20</v>
      </c>
      <c r="I183" s="34">
        <v>30</v>
      </c>
      <c r="J183" s="34">
        <v>100</v>
      </c>
      <c r="K183" s="34">
        <v>50</v>
      </c>
      <c r="L183" s="34">
        <v>200</v>
      </c>
      <c r="M183" s="82" t="s">
        <v>4</v>
      </c>
      <c r="N183" s="82" t="s">
        <v>11</v>
      </c>
      <c r="O183" s="82" t="s">
        <v>403</v>
      </c>
    </row>
    <row r="184" spans="1:15" s="29" customFormat="1" ht="48" x14ac:dyDescent="0.3">
      <c r="A184" s="82"/>
      <c r="B184" s="82" t="s">
        <v>20</v>
      </c>
      <c r="C184" s="82" t="s">
        <v>502</v>
      </c>
      <c r="D184" s="82" t="s">
        <v>817</v>
      </c>
      <c r="E184" s="82" t="s">
        <v>2</v>
      </c>
      <c r="F184" s="82">
        <v>45811</v>
      </c>
      <c r="G184" s="85" t="s">
        <v>3</v>
      </c>
      <c r="H184" s="83">
        <v>34</v>
      </c>
      <c r="I184" s="83">
        <v>19</v>
      </c>
      <c r="J184" s="83">
        <v>31</v>
      </c>
      <c r="K184" s="83">
        <v>8</v>
      </c>
      <c r="L184" s="83">
        <f>SUM(H184:K184)</f>
        <v>92</v>
      </c>
      <c r="M184" s="82" t="s">
        <v>4</v>
      </c>
      <c r="N184" s="82" t="s">
        <v>11</v>
      </c>
      <c r="O184" s="82" t="s">
        <v>501</v>
      </c>
    </row>
    <row r="185" spans="1:15" s="29" customFormat="1" ht="96" x14ac:dyDescent="0.3">
      <c r="A185" s="82"/>
      <c r="B185" s="82" t="s">
        <v>37</v>
      </c>
      <c r="C185" s="82" t="s">
        <v>503</v>
      </c>
      <c r="D185" s="82" t="s">
        <v>817</v>
      </c>
      <c r="E185" s="82" t="s">
        <v>2</v>
      </c>
      <c r="F185" s="82">
        <v>45811</v>
      </c>
      <c r="G185" s="85" t="s">
        <v>3</v>
      </c>
      <c r="H185" s="83">
        <v>15</v>
      </c>
      <c r="I185" s="83">
        <v>29</v>
      </c>
      <c r="J185" s="83">
        <v>221</v>
      </c>
      <c r="K185" s="83">
        <v>0</v>
      </c>
      <c r="L185" s="83">
        <f>SUM(H185:K185)</f>
        <v>265</v>
      </c>
      <c r="M185" s="82" t="s">
        <v>504</v>
      </c>
      <c r="N185" s="82" t="s">
        <v>11</v>
      </c>
      <c r="O185" s="82" t="s">
        <v>505</v>
      </c>
    </row>
    <row r="186" spans="1:15" s="29" customFormat="1" ht="48" x14ac:dyDescent="0.3">
      <c r="A186" s="82"/>
      <c r="B186" s="82" t="s">
        <v>36</v>
      </c>
      <c r="C186" s="82" t="s">
        <v>506</v>
      </c>
      <c r="D186" s="82" t="s">
        <v>817</v>
      </c>
      <c r="E186" s="82" t="s">
        <v>2</v>
      </c>
      <c r="F186" s="82">
        <v>45811</v>
      </c>
      <c r="G186" s="85" t="s">
        <v>3</v>
      </c>
      <c r="H186" s="83">
        <v>3</v>
      </c>
      <c r="I186" s="83">
        <v>0</v>
      </c>
      <c r="J186" s="83">
        <v>80</v>
      </c>
      <c r="K186" s="83">
        <v>0</v>
      </c>
      <c r="L186" s="83">
        <f>SUM(H186:K186)</f>
        <v>83</v>
      </c>
      <c r="M186" s="82" t="s">
        <v>522</v>
      </c>
      <c r="N186" s="82" t="s">
        <v>11</v>
      </c>
      <c r="O186" s="82" t="s">
        <v>507</v>
      </c>
    </row>
    <row r="187" spans="1:15" s="29" customFormat="1" ht="36" x14ac:dyDescent="0.3">
      <c r="A187" s="82"/>
      <c r="B187" s="82" t="s">
        <v>32</v>
      </c>
      <c r="C187" s="82" t="s">
        <v>571</v>
      </c>
      <c r="D187" s="82" t="s">
        <v>816</v>
      </c>
      <c r="E187" s="82" t="s">
        <v>2</v>
      </c>
      <c r="F187" s="82">
        <v>45815</v>
      </c>
      <c r="G187" s="9" t="s">
        <v>21</v>
      </c>
      <c r="H187" s="83">
        <v>0</v>
      </c>
      <c r="I187" s="83">
        <v>0</v>
      </c>
      <c r="J187" s="83">
        <v>5</v>
      </c>
      <c r="K187" s="83">
        <v>0</v>
      </c>
      <c r="L187" s="83">
        <v>5</v>
      </c>
      <c r="M187" s="85" t="s">
        <v>70</v>
      </c>
      <c r="N187" s="90" t="s">
        <v>11</v>
      </c>
      <c r="O187" s="85" t="s">
        <v>572</v>
      </c>
    </row>
    <row r="188" spans="1:15" s="29" customFormat="1" ht="168" x14ac:dyDescent="0.3">
      <c r="A188" s="82"/>
      <c r="B188" s="82" t="s">
        <v>458</v>
      </c>
      <c r="C188" s="82" t="s">
        <v>459</v>
      </c>
      <c r="D188" s="82" t="s">
        <v>33</v>
      </c>
      <c r="E188" s="82" t="s">
        <v>2</v>
      </c>
      <c r="F188" s="82" t="s">
        <v>466</v>
      </c>
      <c r="G188" s="31" t="s">
        <v>460</v>
      </c>
      <c r="H188" s="83">
        <v>0</v>
      </c>
      <c r="I188" s="83">
        <v>0</v>
      </c>
      <c r="J188" s="83">
        <v>15</v>
      </c>
      <c r="K188" s="83">
        <v>0</v>
      </c>
      <c r="L188" s="83">
        <v>15</v>
      </c>
      <c r="M188" s="82" t="s">
        <v>4</v>
      </c>
      <c r="N188" s="85" t="s">
        <v>16</v>
      </c>
      <c r="O188" s="82" t="s">
        <v>500</v>
      </c>
    </row>
    <row r="189" spans="1:15" s="29" customFormat="1" ht="101.25" customHeight="1" x14ac:dyDescent="0.3">
      <c r="A189" s="82"/>
      <c r="B189" s="82" t="s">
        <v>0</v>
      </c>
      <c r="C189" s="82" t="s">
        <v>461</v>
      </c>
      <c r="D189" s="82" t="s">
        <v>33</v>
      </c>
      <c r="E189" s="82" t="s">
        <v>2</v>
      </c>
      <c r="F189" s="82" t="s">
        <v>467</v>
      </c>
      <c r="G189" s="31" t="s">
        <v>355</v>
      </c>
      <c r="H189" s="83">
        <v>1</v>
      </c>
      <c r="I189" s="83">
        <v>0</v>
      </c>
      <c r="J189" s="83">
        <v>4</v>
      </c>
      <c r="K189" s="83">
        <v>0</v>
      </c>
      <c r="L189" s="83">
        <v>5</v>
      </c>
      <c r="M189" s="82" t="s">
        <v>4</v>
      </c>
      <c r="N189" s="85" t="s">
        <v>16</v>
      </c>
      <c r="O189" s="82" t="s">
        <v>512</v>
      </c>
    </row>
    <row r="190" spans="1:15" s="29" customFormat="1" ht="108" x14ac:dyDescent="0.3">
      <c r="A190" s="82"/>
      <c r="B190" s="82" t="s">
        <v>6</v>
      </c>
      <c r="C190" s="82" t="s">
        <v>509</v>
      </c>
      <c r="D190" s="82" t="s">
        <v>817</v>
      </c>
      <c r="E190" s="82" t="s">
        <v>2</v>
      </c>
      <c r="F190" s="82">
        <v>45819</v>
      </c>
      <c r="G190" s="85" t="s">
        <v>3</v>
      </c>
      <c r="H190" s="83">
        <v>9</v>
      </c>
      <c r="I190" s="83">
        <v>0</v>
      </c>
      <c r="J190" s="83">
        <v>8</v>
      </c>
      <c r="K190" s="83">
        <v>0</v>
      </c>
      <c r="L190" s="83">
        <f>SUM(H190:K190)</f>
        <v>17</v>
      </c>
      <c r="M190" s="85" t="s">
        <v>497</v>
      </c>
      <c r="N190" s="82" t="s">
        <v>11</v>
      </c>
      <c r="O190" s="82" t="s">
        <v>508</v>
      </c>
    </row>
    <row r="191" spans="1:15" s="29" customFormat="1" ht="48" x14ac:dyDescent="0.3">
      <c r="A191" s="82"/>
      <c r="B191" s="82" t="s">
        <v>6</v>
      </c>
      <c r="C191" s="82" t="s">
        <v>510</v>
      </c>
      <c r="D191" s="82" t="s">
        <v>817</v>
      </c>
      <c r="E191" s="82" t="s">
        <v>2</v>
      </c>
      <c r="F191" s="82">
        <v>45819</v>
      </c>
      <c r="G191" s="85" t="s">
        <v>3</v>
      </c>
      <c r="H191" s="83">
        <v>1</v>
      </c>
      <c r="I191" s="83">
        <v>0</v>
      </c>
      <c r="J191" s="83">
        <v>4</v>
      </c>
      <c r="K191" s="83">
        <v>0</v>
      </c>
      <c r="L191" s="83">
        <f>SUM(H191:K191)</f>
        <v>5</v>
      </c>
      <c r="M191" s="85" t="s">
        <v>497</v>
      </c>
      <c r="N191" s="82" t="s">
        <v>11</v>
      </c>
      <c r="O191" s="82" t="s">
        <v>511</v>
      </c>
    </row>
    <row r="192" spans="1:15" s="29" customFormat="1" ht="60" x14ac:dyDescent="0.3">
      <c r="A192" s="82"/>
      <c r="B192" s="82" t="s">
        <v>38</v>
      </c>
      <c r="C192" s="82" t="s">
        <v>472</v>
      </c>
      <c r="D192" s="82" t="s">
        <v>23</v>
      </c>
      <c r="E192" s="82" t="s">
        <v>2</v>
      </c>
      <c r="F192" s="82">
        <v>45820</v>
      </c>
      <c r="G192" s="8" t="s">
        <v>27</v>
      </c>
      <c r="H192" s="83">
        <v>0</v>
      </c>
      <c r="I192" s="83">
        <v>5</v>
      </c>
      <c r="J192" s="83">
        <v>5</v>
      </c>
      <c r="K192" s="83">
        <v>0</v>
      </c>
      <c r="L192" s="83">
        <v>10</v>
      </c>
      <c r="M192" s="85" t="s">
        <v>442</v>
      </c>
      <c r="N192" s="82" t="s">
        <v>11</v>
      </c>
      <c r="O192" s="82" t="s">
        <v>514</v>
      </c>
    </row>
    <row r="193" spans="1:15" s="29" customFormat="1" ht="48" x14ac:dyDescent="0.3">
      <c r="A193" s="33"/>
      <c r="B193" s="82" t="s">
        <v>38</v>
      </c>
      <c r="C193" s="82" t="s">
        <v>468</v>
      </c>
      <c r="D193" s="82" t="s">
        <v>12</v>
      </c>
      <c r="E193" s="82" t="s">
        <v>2</v>
      </c>
      <c r="F193" s="82">
        <v>45824</v>
      </c>
      <c r="G193" s="31" t="s">
        <v>469</v>
      </c>
      <c r="H193" s="83">
        <v>0</v>
      </c>
      <c r="I193" s="83">
        <v>5</v>
      </c>
      <c r="J193" s="83">
        <v>11</v>
      </c>
      <c r="K193" s="83">
        <v>0</v>
      </c>
      <c r="L193" s="83">
        <v>16</v>
      </c>
      <c r="M193" s="82" t="s">
        <v>7</v>
      </c>
      <c r="N193" s="82" t="s">
        <v>11</v>
      </c>
      <c r="O193" s="82" t="s">
        <v>513</v>
      </c>
    </row>
    <row r="194" spans="1:15" s="29" customFormat="1" ht="48" x14ac:dyDescent="0.3">
      <c r="A194" s="33"/>
      <c r="B194" s="82" t="s">
        <v>38</v>
      </c>
      <c r="C194" s="82" t="s">
        <v>468</v>
      </c>
      <c r="D194" s="82" t="s">
        <v>12</v>
      </c>
      <c r="E194" s="82" t="s">
        <v>2</v>
      </c>
      <c r="F194" s="82">
        <v>45825</v>
      </c>
      <c r="G194" s="31" t="s">
        <v>469</v>
      </c>
      <c r="H194" s="83">
        <v>0</v>
      </c>
      <c r="I194" s="83">
        <v>5</v>
      </c>
      <c r="J194" s="83">
        <v>16</v>
      </c>
      <c r="K194" s="83">
        <v>0</v>
      </c>
      <c r="L194" s="83">
        <v>21</v>
      </c>
      <c r="M194" s="82" t="s">
        <v>7</v>
      </c>
      <c r="N194" s="82" t="s">
        <v>11</v>
      </c>
      <c r="O194" s="82" t="s">
        <v>513</v>
      </c>
    </row>
    <row r="195" spans="1:15" s="29" customFormat="1" ht="72" x14ac:dyDescent="0.3">
      <c r="A195" s="82"/>
      <c r="B195" s="82" t="s">
        <v>28</v>
      </c>
      <c r="C195" s="82" t="s">
        <v>515</v>
      </c>
      <c r="D195" s="82" t="s">
        <v>817</v>
      </c>
      <c r="E195" s="82" t="s">
        <v>2</v>
      </c>
      <c r="F195" s="82">
        <v>45825</v>
      </c>
      <c r="G195" s="85" t="s">
        <v>3</v>
      </c>
      <c r="H195" s="83">
        <v>7</v>
      </c>
      <c r="I195" s="83">
        <v>0</v>
      </c>
      <c r="J195" s="83">
        <v>16</v>
      </c>
      <c r="K195" s="83">
        <v>0</v>
      </c>
      <c r="L195" s="83">
        <v>23</v>
      </c>
      <c r="M195" s="82" t="s">
        <v>516</v>
      </c>
      <c r="N195" s="82" t="s">
        <v>11</v>
      </c>
      <c r="O195" s="82" t="s">
        <v>499</v>
      </c>
    </row>
    <row r="196" spans="1:15" s="29" customFormat="1" ht="48" x14ac:dyDescent="0.3">
      <c r="A196" s="82"/>
      <c r="B196" s="82" t="s">
        <v>38</v>
      </c>
      <c r="C196" s="82" t="s">
        <v>517</v>
      </c>
      <c r="D196" s="82" t="s">
        <v>817</v>
      </c>
      <c r="E196" s="82" t="s">
        <v>2</v>
      </c>
      <c r="F196" s="82">
        <v>45825</v>
      </c>
      <c r="G196" s="31" t="s">
        <v>470</v>
      </c>
      <c r="H196" s="83">
        <v>10</v>
      </c>
      <c r="I196" s="83">
        <v>15</v>
      </c>
      <c r="J196" s="83">
        <v>15</v>
      </c>
      <c r="K196" s="83">
        <v>0</v>
      </c>
      <c r="L196" s="83">
        <v>40</v>
      </c>
      <c r="M196" s="85" t="s">
        <v>442</v>
      </c>
      <c r="N196" s="82" t="s">
        <v>11</v>
      </c>
      <c r="O196" s="82" t="s">
        <v>471</v>
      </c>
    </row>
    <row r="197" spans="1:15" s="29" customFormat="1" ht="48" x14ac:dyDescent="0.3">
      <c r="A197" s="33"/>
      <c r="B197" s="82" t="s">
        <v>38</v>
      </c>
      <c r="C197" s="82" t="s">
        <v>468</v>
      </c>
      <c r="D197" s="82" t="s">
        <v>12</v>
      </c>
      <c r="E197" s="82" t="s">
        <v>2</v>
      </c>
      <c r="F197" s="82">
        <v>45826</v>
      </c>
      <c r="G197" s="31" t="s">
        <v>469</v>
      </c>
      <c r="H197" s="83">
        <v>0</v>
      </c>
      <c r="I197" s="83">
        <v>2</v>
      </c>
      <c r="J197" s="83">
        <v>8</v>
      </c>
      <c r="K197" s="83">
        <v>0</v>
      </c>
      <c r="L197" s="83">
        <v>10</v>
      </c>
      <c r="M197" s="82" t="s">
        <v>7</v>
      </c>
      <c r="N197" s="82" t="s">
        <v>11</v>
      </c>
      <c r="O197" s="82" t="s">
        <v>513</v>
      </c>
    </row>
    <row r="198" spans="1:15" s="29" customFormat="1" ht="132" x14ac:dyDescent="0.3">
      <c r="A198" s="33"/>
      <c r="B198" s="82" t="s">
        <v>37</v>
      </c>
      <c r="C198" s="82" t="s">
        <v>462</v>
      </c>
      <c r="D198" s="82" t="s">
        <v>12</v>
      </c>
      <c r="E198" s="82" t="s">
        <v>2</v>
      </c>
      <c r="F198" s="82">
        <v>45826</v>
      </c>
      <c r="G198" s="85" t="s">
        <v>3</v>
      </c>
      <c r="H198" s="83" t="s">
        <v>43</v>
      </c>
      <c r="I198" s="83">
        <v>15</v>
      </c>
      <c r="J198" s="83">
        <v>40</v>
      </c>
      <c r="K198" s="83">
        <v>0</v>
      </c>
      <c r="L198" s="83">
        <v>55</v>
      </c>
      <c r="M198" s="82" t="s">
        <v>41</v>
      </c>
      <c r="N198" s="82" t="s">
        <v>11</v>
      </c>
      <c r="O198" s="82" t="s">
        <v>463</v>
      </c>
    </row>
    <row r="199" spans="1:15" s="29" customFormat="1" ht="48" x14ac:dyDescent="0.3">
      <c r="A199" s="33"/>
      <c r="B199" s="82" t="s">
        <v>38</v>
      </c>
      <c r="C199" s="82" t="s">
        <v>468</v>
      </c>
      <c r="D199" s="82" t="s">
        <v>12</v>
      </c>
      <c r="E199" s="82" t="s">
        <v>2</v>
      </c>
      <c r="F199" s="82">
        <v>45827</v>
      </c>
      <c r="G199" s="31" t="s">
        <v>469</v>
      </c>
      <c r="H199" s="83">
        <v>0</v>
      </c>
      <c r="I199" s="83">
        <v>2</v>
      </c>
      <c r="J199" s="83">
        <v>10</v>
      </c>
      <c r="K199" s="83">
        <v>0</v>
      </c>
      <c r="L199" s="83">
        <v>12</v>
      </c>
      <c r="M199" s="82" t="s">
        <v>7</v>
      </c>
      <c r="N199" s="82" t="s">
        <v>11</v>
      </c>
      <c r="O199" s="82" t="s">
        <v>513</v>
      </c>
    </row>
    <row r="200" spans="1:15" s="29" customFormat="1" ht="120" x14ac:dyDescent="0.3">
      <c r="A200" s="33"/>
      <c r="B200" s="82" t="s">
        <v>0</v>
      </c>
      <c r="C200" s="82" t="s">
        <v>464</v>
      </c>
      <c r="D200" s="82" t="s">
        <v>817</v>
      </c>
      <c r="E200" s="82" t="s">
        <v>2</v>
      </c>
      <c r="F200" s="82">
        <v>45828</v>
      </c>
      <c r="G200" s="85" t="s">
        <v>3</v>
      </c>
      <c r="H200" s="83">
        <v>0</v>
      </c>
      <c r="I200" s="83">
        <v>0</v>
      </c>
      <c r="J200" s="83">
        <v>12</v>
      </c>
      <c r="K200" s="83">
        <v>1</v>
      </c>
      <c r="L200" s="83">
        <v>13</v>
      </c>
      <c r="M200" s="82" t="s">
        <v>525</v>
      </c>
      <c r="N200" s="82" t="s">
        <v>11</v>
      </c>
      <c r="O200" s="82" t="s">
        <v>465</v>
      </c>
    </row>
    <row r="201" spans="1:15" s="29" customFormat="1" ht="144" x14ac:dyDescent="0.3">
      <c r="A201" s="82"/>
      <c r="B201" s="82" t="s">
        <v>20</v>
      </c>
      <c r="C201" s="82" t="s">
        <v>518</v>
      </c>
      <c r="D201" s="82" t="s">
        <v>23</v>
      </c>
      <c r="E201" s="82" t="s">
        <v>2</v>
      </c>
      <c r="F201" s="82">
        <v>45830</v>
      </c>
      <c r="G201" s="85" t="s">
        <v>3</v>
      </c>
      <c r="H201" s="83">
        <v>20</v>
      </c>
      <c r="I201" s="83">
        <v>30</v>
      </c>
      <c r="J201" s="83">
        <v>70</v>
      </c>
      <c r="K201" s="83">
        <v>15</v>
      </c>
      <c r="L201" s="83">
        <v>135</v>
      </c>
      <c r="M201" s="82" t="s">
        <v>4</v>
      </c>
      <c r="N201" s="82" t="s">
        <v>11</v>
      </c>
      <c r="O201" s="82" t="s">
        <v>523</v>
      </c>
    </row>
    <row r="202" spans="1:15" s="29" customFormat="1" ht="48" x14ac:dyDescent="0.3">
      <c r="A202" s="33"/>
      <c r="B202" s="82" t="s">
        <v>38</v>
      </c>
      <c r="C202" s="82" t="s">
        <v>468</v>
      </c>
      <c r="D202" s="82" t="s">
        <v>12</v>
      </c>
      <c r="E202" s="82" t="s">
        <v>2</v>
      </c>
      <c r="F202" s="82">
        <v>45831</v>
      </c>
      <c r="G202" s="31" t="s">
        <v>469</v>
      </c>
      <c r="H202" s="83">
        <v>0</v>
      </c>
      <c r="I202" s="83">
        <v>7</v>
      </c>
      <c r="J202" s="83">
        <v>12</v>
      </c>
      <c r="K202" s="83">
        <v>0</v>
      </c>
      <c r="L202" s="83">
        <v>19</v>
      </c>
      <c r="M202" s="82" t="s">
        <v>7</v>
      </c>
      <c r="N202" s="82" t="s">
        <v>11</v>
      </c>
      <c r="O202" s="82" t="s">
        <v>513</v>
      </c>
    </row>
    <row r="203" spans="1:15" s="29" customFormat="1" ht="48" x14ac:dyDescent="0.3">
      <c r="A203" s="33"/>
      <c r="B203" s="82" t="s">
        <v>38</v>
      </c>
      <c r="C203" s="82" t="s">
        <v>468</v>
      </c>
      <c r="D203" s="82" t="s">
        <v>12</v>
      </c>
      <c r="E203" s="82" t="s">
        <v>2</v>
      </c>
      <c r="F203" s="82">
        <v>45834</v>
      </c>
      <c r="G203" s="31" t="s">
        <v>469</v>
      </c>
      <c r="H203" s="83">
        <v>0</v>
      </c>
      <c r="I203" s="83">
        <v>4</v>
      </c>
      <c r="J203" s="83">
        <v>9</v>
      </c>
      <c r="K203" s="83">
        <v>0</v>
      </c>
      <c r="L203" s="83">
        <v>13</v>
      </c>
      <c r="M203" s="82" t="s">
        <v>7</v>
      </c>
      <c r="N203" s="82" t="s">
        <v>11</v>
      </c>
      <c r="O203" s="82" t="s">
        <v>513</v>
      </c>
    </row>
    <row r="204" spans="1:15" s="29" customFormat="1" ht="48" x14ac:dyDescent="0.3">
      <c r="A204" s="82"/>
      <c r="B204" s="82" t="s">
        <v>38</v>
      </c>
      <c r="C204" s="82" t="s">
        <v>468</v>
      </c>
      <c r="D204" s="82" t="s">
        <v>12</v>
      </c>
      <c r="E204" s="82" t="s">
        <v>2</v>
      </c>
      <c r="F204" s="82">
        <v>45835</v>
      </c>
      <c r="G204" s="31" t="s">
        <v>469</v>
      </c>
      <c r="H204" s="83">
        <v>0</v>
      </c>
      <c r="I204" s="83">
        <v>1</v>
      </c>
      <c r="J204" s="83">
        <v>8</v>
      </c>
      <c r="K204" s="83">
        <v>0</v>
      </c>
      <c r="L204" s="83">
        <v>9</v>
      </c>
      <c r="M204" s="82" t="s">
        <v>7</v>
      </c>
      <c r="N204" s="82" t="s">
        <v>11</v>
      </c>
      <c r="O204" s="82" t="s">
        <v>513</v>
      </c>
    </row>
    <row r="205" spans="1:15" s="29" customFormat="1" ht="36" x14ac:dyDescent="0.3">
      <c r="A205" s="33"/>
      <c r="B205" s="82" t="s">
        <v>0</v>
      </c>
      <c r="C205" s="82" t="s">
        <v>524</v>
      </c>
      <c r="D205" s="82" t="s">
        <v>817</v>
      </c>
      <c r="E205" s="82" t="s">
        <v>2</v>
      </c>
      <c r="F205" s="82">
        <v>45835</v>
      </c>
      <c r="G205" s="85" t="s">
        <v>3</v>
      </c>
      <c r="H205" s="83">
        <v>0</v>
      </c>
      <c r="I205" s="83">
        <v>40</v>
      </c>
      <c r="J205" s="83">
        <v>140</v>
      </c>
      <c r="K205" s="83">
        <v>120</v>
      </c>
      <c r="L205" s="83">
        <v>300</v>
      </c>
      <c r="M205" s="82" t="s">
        <v>4</v>
      </c>
      <c r="N205" s="82" t="s">
        <v>11</v>
      </c>
      <c r="O205" s="85" t="s">
        <v>519</v>
      </c>
    </row>
    <row r="206" spans="1:15" s="29" customFormat="1" ht="96" x14ac:dyDescent="0.3">
      <c r="A206" s="82"/>
      <c r="B206" s="82" t="s">
        <v>0</v>
      </c>
      <c r="C206" s="82" t="s">
        <v>520</v>
      </c>
      <c r="D206" s="82" t="s">
        <v>817</v>
      </c>
      <c r="E206" s="82" t="s">
        <v>2</v>
      </c>
      <c r="F206" s="82">
        <v>45835</v>
      </c>
      <c r="G206" s="85" t="s">
        <v>3</v>
      </c>
      <c r="H206" s="83">
        <v>0</v>
      </c>
      <c r="I206" s="83">
        <v>9</v>
      </c>
      <c r="J206" s="83">
        <v>154</v>
      </c>
      <c r="K206" s="83">
        <v>0</v>
      </c>
      <c r="L206" s="83">
        <v>163</v>
      </c>
      <c r="M206" s="82" t="s">
        <v>4</v>
      </c>
      <c r="N206" s="82" t="s">
        <v>11</v>
      </c>
      <c r="O206" s="85" t="s">
        <v>521</v>
      </c>
    </row>
    <row r="207" spans="1:15" s="29" customFormat="1" ht="36" x14ac:dyDescent="0.3">
      <c r="A207" s="82"/>
      <c r="B207" s="82" t="s">
        <v>0</v>
      </c>
      <c r="C207" s="82" t="s">
        <v>526</v>
      </c>
      <c r="D207" s="82" t="s">
        <v>23</v>
      </c>
      <c r="E207" s="82" t="s">
        <v>2</v>
      </c>
      <c r="F207" s="82">
        <v>45836</v>
      </c>
      <c r="G207" s="10" t="s">
        <v>392</v>
      </c>
      <c r="H207" s="83">
        <v>10</v>
      </c>
      <c r="I207" s="83">
        <v>35</v>
      </c>
      <c r="J207" s="83">
        <v>65</v>
      </c>
      <c r="K207" s="83">
        <v>4</v>
      </c>
      <c r="L207" s="83">
        <f>SUM(H207:K207)</f>
        <v>114</v>
      </c>
      <c r="M207" s="82" t="s">
        <v>4</v>
      </c>
      <c r="N207" s="85" t="s">
        <v>16</v>
      </c>
      <c r="O207" s="85" t="s">
        <v>527</v>
      </c>
    </row>
    <row r="208" spans="1:15" s="29" customFormat="1" ht="36" x14ac:dyDescent="0.3">
      <c r="A208" s="82"/>
      <c r="B208" s="82" t="s">
        <v>32</v>
      </c>
      <c r="C208" s="82" t="s">
        <v>421</v>
      </c>
      <c r="D208" s="82" t="s">
        <v>816</v>
      </c>
      <c r="E208" s="82" t="s">
        <v>2</v>
      </c>
      <c r="F208" s="82">
        <v>45836</v>
      </c>
      <c r="G208" s="9" t="s">
        <v>21</v>
      </c>
      <c r="H208" s="83">
        <v>1</v>
      </c>
      <c r="I208" s="83">
        <v>0</v>
      </c>
      <c r="J208" s="83">
        <v>14</v>
      </c>
      <c r="K208" s="83">
        <v>0</v>
      </c>
      <c r="L208" s="83">
        <v>15</v>
      </c>
      <c r="M208" s="85" t="s">
        <v>70</v>
      </c>
      <c r="N208" s="90" t="s">
        <v>11</v>
      </c>
      <c r="O208" s="85" t="s">
        <v>457</v>
      </c>
    </row>
    <row r="209" spans="1:15" s="29" customFormat="1" ht="48" x14ac:dyDescent="0.3">
      <c r="A209" s="82"/>
      <c r="B209" s="82" t="s">
        <v>570</v>
      </c>
      <c r="C209" s="82" t="s">
        <v>468</v>
      </c>
      <c r="D209" s="82" t="s">
        <v>12</v>
      </c>
      <c r="E209" s="82" t="s">
        <v>2</v>
      </c>
      <c r="F209" s="82">
        <v>45836</v>
      </c>
      <c r="G209" s="31" t="s">
        <v>469</v>
      </c>
      <c r="H209" s="83">
        <v>0</v>
      </c>
      <c r="I209" s="83">
        <v>2</v>
      </c>
      <c r="J209" s="83">
        <v>8</v>
      </c>
      <c r="K209" s="83">
        <v>0</v>
      </c>
      <c r="L209" s="83">
        <v>10</v>
      </c>
      <c r="M209" s="82" t="s">
        <v>7</v>
      </c>
      <c r="N209" s="82" t="s">
        <v>11</v>
      </c>
      <c r="O209" s="82" t="s">
        <v>513</v>
      </c>
    </row>
    <row r="210" spans="1:15" s="29" customFormat="1" ht="144" x14ac:dyDescent="0.3">
      <c r="A210" s="82"/>
      <c r="B210" s="82" t="s">
        <v>0</v>
      </c>
      <c r="C210" s="82" t="s">
        <v>528</v>
      </c>
      <c r="D210" s="82" t="s">
        <v>817</v>
      </c>
      <c r="E210" s="82" t="s">
        <v>2</v>
      </c>
      <c r="F210" s="82">
        <v>45838</v>
      </c>
      <c r="G210" s="85" t="s">
        <v>3</v>
      </c>
      <c r="H210" s="83">
        <v>380</v>
      </c>
      <c r="I210" s="83">
        <v>0</v>
      </c>
      <c r="J210" s="83">
        <v>120</v>
      </c>
      <c r="K210" s="83">
        <v>0</v>
      </c>
      <c r="L210" s="83">
        <f>SUM(H210:K210)</f>
        <v>500</v>
      </c>
      <c r="M210" s="85" t="s">
        <v>529</v>
      </c>
      <c r="N210" s="82" t="s">
        <v>11</v>
      </c>
      <c r="O210" s="85" t="s">
        <v>530</v>
      </c>
    </row>
    <row r="211" spans="1:15" s="29" customFormat="1" ht="36" x14ac:dyDescent="0.3">
      <c r="A211" s="82"/>
      <c r="B211" s="82" t="s">
        <v>563</v>
      </c>
      <c r="C211" s="82" t="s">
        <v>564</v>
      </c>
      <c r="D211" s="82" t="s">
        <v>12</v>
      </c>
      <c r="E211" s="82" t="s">
        <v>2</v>
      </c>
      <c r="F211" s="82">
        <v>45841</v>
      </c>
      <c r="G211" s="85" t="s">
        <v>565</v>
      </c>
      <c r="H211" s="83">
        <v>1</v>
      </c>
      <c r="I211" s="83">
        <v>1</v>
      </c>
      <c r="J211" s="83">
        <v>9</v>
      </c>
      <c r="K211" s="83">
        <v>2</v>
      </c>
      <c r="L211" s="83">
        <v>11</v>
      </c>
      <c r="M211" s="85" t="s">
        <v>5</v>
      </c>
      <c r="N211" s="82" t="s">
        <v>11</v>
      </c>
      <c r="O211" s="85" t="s">
        <v>566</v>
      </c>
    </row>
    <row r="212" spans="1:15" s="89" customFormat="1" ht="144" x14ac:dyDescent="0.3">
      <c r="A212" s="88"/>
      <c r="B212" s="82" t="s">
        <v>0</v>
      </c>
      <c r="C212" s="82" t="s">
        <v>560</v>
      </c>
      <c r="D212" s="82" t="s">
        <v>817</v>
      </c>
      <c r="E212" s="82" t="s">
        <v>2</v>
      </c>
      <c r="F212" s="82">
        <v>45841</v>
      </c>
      <c r="G212" s="85" t="s">
        <v>3</v>
      </c>
      <c r="H212" s="83">
        <v>349</v>
      </c>
      <c r="I212" s="83">
        <v>146</v>
      </c>
      <c r="J212" s="83">
        <v>15</v>
      </c>
      <c r="K212" s="83">
        <v>0</v>
      </c>
      <c r="L212" s="83">
        <f>SUM(H212:K212)</f>
        <v>510</v>
      </c>
      <c r="M212" s="85" t="s">
        <v>537</v>
      </c>
      <c r="N212" s="82" t="s">
        <v>11</v>
      </c>
      <c r="O212" s="85" t="s">
        <v>538</v>
      </c>
    </row>
    <row r="213" spans="1:15" s="89" customFormat="1" ht="48" x14ac:dyDescent="0.3">
      <c r="A213" s="88"/>
      <c r="B213" s="82" t="s">
        <v>570</v>
      </c>
      <c r="C213" s="82" t="s">
        <v>468</v>
      </c>
      <c r="D213" s="82" t="s">
        <v>12</v>
      </c>
      <c r="E213" s="82" t="s">
        <v>2</v>
      </c>
      <c r="F213" s="82">
        <v>45841</v>
      </c>
      <c r="G213" s="31" t="s">
        <v>469</v>
      </c>
      <c r="H213" s="83">
        <v>0</v>
      </c>
      <c r="I213" s="83">
        <v>4</v>
      </c>
      <c r="J213" s="83">
        <v>13</v>
      </c>
      <c r="K213" s="83">
        <v>0</v>
      </c>
      <c r="L213" s="83">
        <v>17</v>
      </c>
      <c r="M213" s="82" t="s">
        <v>7</v>
      </c>
      <c r="N213" s="82" t="s">
        <v>11</v>
      </c>
      <c r="O213" s="82" t="s">
        <v>513</v>
      </c>
    </row>
    <row r="214" spans="1:15" s="89" customFormat="1" ht="48" x14ac:dyDescent="0.3">
      <c r="A214" s="88"/>
      <c r="B214" s="82" t="s">
        <v>570</v>
      </c>
      <c r="C214" s="82" t="s">
        <v>468</v>
      </c>
      <c r="D214" s="82" t="s">
        <v>12</v>
      </c>
      <c r="E214" s="82" t="s">
        <v>2</v>
      </c>
      <c r="F214" s="82">
        <v>45842</v>
      </c>
      <c r="G214" s="31" t="s">
        <v>469</v>
      </c>
      <c r="H214" s="83">
        <v>0</v>
      </c>
      <c r="I214" s="83">
        <v>3</v>
      </c>
      <c r="J214" s="83">
        <v>11</v>
      </c>
      <c r="K214" s="83">
        <v>0</v>
      </c>
      <c r="L214" s="83">
        <v>14</v>
      </c>
      <c r="M214" s="82" t="s">
        <v>7</v>
      </c>
      <c r="N214" s="82" t="s">
        <v>11</v>
      </c>
      <c r="O214" s="82" t="s">
        <v>513</v>
      </c>
    </row>
    <row r="215" spans="1:15" s="29" customFormat="1" ht="108" x14ac:dyDescent="0.3">
      <c r="A215" s="82"/>
      <c r="B215" s="82" t="s">
        <v>0</v>
      </c>
      <c r="C215" s="82" t="s">
        <v>559</v>
      </c>
      <c r="D215" s="82" t="s">
        <v>817</v>
      </c>
      <c r="E215" s="82" t="s">
        <v>2</v>
      </c>
      <c r="F215" s="82">
        <v>45842</v>
      </c>
      <c r="G215" s="85" t="s">
        <v>3</v>
      </c>
      <c r="H215" s="83">
        <v>462</v>
      </c>
      <c r="I215" s="83">
        <v>278</v>
      </c>
      <c r="J215" s="83">
        <v>0</v>
      </c>
      <c r="K215" s="83">
        <v>0</v>
      </c>
      <c r="L215" s="83">
        <f t="shared" ref="L215:L230" si="0">SUM(H215:K215)</f>
        <v>740</v>
      </c>
      <c r="M215" s="85" t="s">
        <v>558</v>
      </c>
      <c r="N215" s="82" t="s">
        <v>11</v>
      </c>
      <c r="O215" s="85" t="s">
        <v>557</v>
      </c>
    </row>
    <row r="216" spans="1:15" s="29" customFormat="1" ht="204" x14ac:dyDescent="0.3">
      <c r="A216" s="82"/>
      <c r="B216" s="82" t="s">
        <v>20</v>
      </c>
      <c r="C216" s="82" t="s">
        <v>550</v>
      </c>
      <c r="D216" s="82" t="s">
        <v>35</v>
      </c>
      <c r="E216" s="82" t="s">
        <v>2</v>
      </c>
      <c r="F216" s="82" t="s">
        <v>548</v>
      </c>
      <c r="G216" s="85" t="s">
        <v>3</v>
      </c>
      <c r="H216" s="83">
        <v>2</v>
      </c>
      <c r="I216" s="83">
        <v>1</v>
      </c>
      <c r="J216" s="83">
        <v>11</v>
      </c>
      <c r="K216" s="83">
        <v>0</v>
      </c>
      <c r="L216" s="83">
        <f t="shared" si="0"/>
        <v>14</v>
      </c>
      <c r="M216" s="85" t="s">
        <v>4</v>
      </c>
      <c r="N216" s="82" t="s">
        <v>11</v>
      </c>
      <c r="O216" s="85" t="s">
        <v>549</v>
      </c>
    </row>
    <row r="217" spans="1:15" s="29" customFormat="1" ht="72" x14ac:dyDescent="0.3">
      <c r="A217" s="82"/>
      <c r="B217" s="82" t="s">
        <v>0</v>
      </c>
      <c r="C217" s="82" t="s">
        <v>553</v>
      </c>
      <c r="D217" s="82" t="s">
        <v>817</v>
      </c>
      <c r="E217" s="82" t="s">
        <v>2</v>
      </c>
      <c r="F217" s="82">
        <v>45845</v>
      </c>
      <c r="G217" s="85" t="s">
        <v>3</v>
      </c>
      <c r="H217" s="83">
        <v>510</v>
      </c>
      <c r="I217" s="83">
        <v>0</v>
      </c>
      <c r="J217" s="83">
        <v>565</v>
      </c>
      <c r="K217" s="83">
        <v>85</v>
      </c>
      <c r="L217" s="83">
        <f t="shared" si="0"/>
        <v>1160</v>
      </c>
      <c r="M217" s="85" t="s">
        <v>554</v>
      </c>
      <c r="N217" s="82" t="s">
        <v>11</v>
      </c>
      <c r="O217" s="85" t="s">
        <v>551</v>
      </c>
    </row>
    <row r="218" spans="1:15" s="29" customFormat="1" ht="120" x14ac:dyDescent="0.3">
      <c r="A218" s="82"/>
      <c r="B218" s="82" t="s">
        <v>0</v>
      </c>
      <c r="C218" s="82" t="s">
        <v>543</v>
      </c>
      <c r="D218" s="82" t="s">
        <v>817</v>
      </c>
      <c r="E218" s="82" t="s">
        <v>2</v>
      </c>
      <c r="F218" s="82">
        <v>45845</v>
      </c>
      <c r="G218" s="85" t="s">
        <v>3</v>
      </c>
      <c r="H218" s="83">
        <v>90</v>
      </c>
      <c r="I218" s="83">
        <v>0</v>
      </c>
      <c r="J218" s="83">
        <v>100</v>
      </c>
      <c r="K218" s="83">
        <v>0</v>
      </c>
      <c r="L218" s="83">
        <f t="shared" si="0"/>
        <v>190</v>
      </c>
      <c r="M218" s="85" t="s">
        <v>544</v>
      </c>
      <c r="N218" s="82" t="s">
        <v>11</v>
      </c>
      <c r="O218" s="85" t="s">
        <v>547</v>
      </c>
    </row>
    <row r="219" spans="1:15" s="29" customFormat="1" ht="60" x14ac:dyDescent="0.3">
      <c r="A219" s="82"/>
      <c r="B219" s="82" t="s">
        <v>0</v>
      </c>
      <c r="C219" s="82" t="s">
        <v>545</v>
      </c>
      <c r="D219" s="82" t="s">
        <v>817</v>
      </c>
      <c r="E219" s="82" t="s">
        <v>2</v>
      </c>
      <c r="F219" s="82">
        <v>45845</v>
      </c>
      <c r="G219" s="85" t="s">
        <v>3</v>
      </c>
      <c r="H219" s="83">
        <v>382</v>
      </c>
      <c r="I219" s="83">
        <v>0</v>
      </c>
      <c r="J219" s="83">
        <v>101</v>
      </c>
      <c r="K219" s="83">
        <v>44</v>
      </c>
      <c r="L219" s="83">
        <f t="shared" si="0"/>
        <v>527</v>
      </c>
      <c r="M219" s="85" t="s">
        <v>546</v>
      </c>
      <c r="N219" s="82" t="s">
        <v>11</v>
      </c>
      <c r="O219" s="85" t="s">
        <v>552</v>
      </c>
    </row>
    <row r="220" spans="1:15" s="29" customFormat="1" ht="60" x14ac:dyDescent="0.3">
      <c r="A220" s="82"/>
      <c r="B220" s="82" t="s">
        <v>0</v>
      </c>
      <c r="C220" s="82" t="s">
        <v>541</v>
      </c>
      <c r="D220" s="82" t="s">
        <v>817</v>
      </c>
      <c r="E220" s="82" t="s">
        <v>2</v>
      </c>
      <c r="F220" s="82">
        <v>45846</v>
      </c>
      <c r="G220" s="85" t="s">
        <v>3</v>
      </c>
      <c r="H220" s="83">
        <v>244</v>
      </c>
      <c r="I220" s="83">
        <v>236</v>
      </c>
      <c r="J220" s="83">
        <v>0</v>
      </c>
      <c r="K220" s="83">
        <v>0</v>
      </c>
      <c r="L220" s="83">
        <f t="shared" si="0"/>
        <v>480</v>
      </c>
      <c r="M220" s="85" t="s">
        <v>542</v>
      </c>
      <c r="N220" s="82" t="s">
        <v>11</v>
      </c>
      <c r="O220" s="85" t="s">
        <v>555</v>
      </c>
    </row>
    <row r="221" spans="1:15" s="29" customFormat="1" ht="36" x14ac:dyDescent="0.3">
      <c r="A221" s="82"/>
      <c r="B221" s="82" t="s">
        <v>0</v>
      </c>
      <c r="C221" s="82" t="s">
        <v>539</v>
      </c>
      <c r="D221" s="82" t="s">
        <v>817</v>
      </c>
      <c r="E221" s="82" t="s">
        <v>2</v>
      </c>
      <c r="F221" s="82">
        <v>45847</v>
      </c>
      <c r="G221" s="85" t="s">
        <v>3</v>
      </c>
      <c r="H221" s="83">
        <v>103</v>
      </c>
      <c r="I221" s="83">
        <v>700</v>
      </c>
      <c r="J221" s="83">
        <v>0</v>
      </c>
      <c r="K221" s="83">
        <v>2</v>
      </c>
      <c r="L221" s="83">
        <f t="shared" si="0"/>
        <v>805</v>
      </c>
      <c r="M221" s="85" t="s">
        <v>540</v>
      </c>
      <c r="N221" s="82" t="s">
        <v>11</v>
      </c>
      <c r="O221" s="85" t="s">
        <v>556</v>
      </c>
    </row>
    <row r="222" spans="1:15" s="29" customFormat="1" ht="60" x14ac:dyDescent="0.3">
      <c r="A222" s="82"/>
      <c r="B222" s="82" t="s">
        <v>0</v>
      </c>
      <c r="C222" s="82" t="s">
        <v>561</v>
      </c>
      <c r="D222" s="82" t="s">
        <v>817</v>
      </c>
      <c r="E222" s="82" t="s">
        <v>2</v>
      </c>
      <c r="F222" s="82">
        <v>45848</v>
      </c>
      <c r="G222" s="85" t="s">
        <v>3</v>
      </c>
      <c r="H222" s="83">
        <v>320</v>
      </c>
      <c r="I222" s="83">
        <v>0</v>
      </c>
      <c r="J222" s="83">
        <v>170</v>
      </c>
      <c r="K222" s="83">
        <v>4</v>
      </c>
      <c r="L222" s="83">
        <f t="shared" si="0"/>
        <v>494</v>
      </c>
      <c r="M222" s="85" t="s">
        <v>826</v>
      </c>
      <c r="N222" s="82" t="s">
        <v>11</v>
      </c>
      <c r="O222" s="85" t="s">
        <v>562</v>
      </c>
    </row>
    <row r="223" spans="1:15" s="29" customFormat="1" ht="252" x14ac:dyDescent="0.3">
      <c r="A223" s="82"/>
      <c r="B223" s="82" t="s">
        <v>0</v>
      </c>
      <c r="C223" s="82" t="s">
        <v>576</v>
      </c>
      <c r="D223" s="82" t="s">
        <v>817</v>
      </c>
      <c r="E223" s="82" t="s">
        <v>2</v>
      </c>
      <c r="F223" s="82">
        <v>45849</v>
      </c>
      <c r="G223" s="85" t="s">
        <v>3</v>
      </c>
      <c r="H223" s="83">
        <v>245</v>
      </c>
      <c r="I223" s="83">
        <v>0</v>
      </c>
      <c r="J223" s="83">
        <v>131</v>
      </c>
      <c r="K223" s="83">
        <v>2</v>
      </c>
      <c r="L223" s="83">
        <f t="shared" si="0"/>
        <v>378</v>
      </c>
      <c r="M223" s="85" t="s">
        <v>577</v>
      </c>
      <c r="N223" s="82" t="s">
        <v>11</v>
      </c>
      <c r="O223" s="85" t="s">
        <v>578</v>
      </c>
    </row>
    <row r="224" spans="1:15" s="29" customFormat="1" ht="168" x14ac:dyDescent="0.3">
      <c r="A224" s="82"/>
      <c r="B224" s="82" t="s">
        <v>1</v>
      </c>
      <c r="C224" s="82" t="s">
        <v>568</v>
      </c>
      <c r="D224" s="82" t="s">
        <v>33</v>
      </c>
      <c r="E224" s="82" t="s">
        <v>2</v>
      </c>
      <c r="F224" s="82" t="s">
        <v>567</v>
      </c>
      <c r="G224" s="85" t="s">
        <v>34</v>
      </c>
      <c r="H224" s="83">
        <v>120</v>
      </c>
      <c r="I224" s="83">
        <v>0</v>
      </c>
      <c r="J224" s="83">
        <v>7</v>
      </c>
      <c r="K224" s="83">
        <v>0</v>
      </c>
      <c r="L224" s="83">
        <f t="shared" si="0"/>
        <v>127</v>
      </c>
      <c r="M224" s="85" t="s">
        <v>4</v>
      </c>
      <c r="N224" s="85" t="s">
        <v>11</v>
      </c>
      <c r="O224" s="85" t="s">
        <v>569</v>
      </c>
    </row>
    <row r="225" spans="1:15" s="29" customFormat="1" ht="192" x14ac:dyDescent="0.3">
      <c r="A225" s="82"/>
      <c r="B225" s="82" t="s">
        <v>0</v>
      </c>
      <c r="C225" s="82" t="s">
        <v>573</v>
      </c>
      <c r="D225" s="82" t="s">
        <v>817</v>
      </c>
      <c r="E225" s="82" t="s">
        <v>2</v>
      </c>
      <c r="F225" s="82">
        <v>45852</v>
      </c>
      <c r="G225" s="85" t="s">
        <v>3</v>
      </c>
      <c r="H225" s="83">
        <v>334</v>
      </c>
      <c r="I225" s="83">
        <v>0</v>
      </c>
      <c r="J225" s="83">
        <v>150</v>
      </c>
      <c r="K225" s="83">
        <v>10</v>
      </c>
      <c r="L225" s="83">
        <f t="shared" si="0"/>
        <v>494</v>
      </c>
      <c r="M225" s="85" t="s">
        <v>574</v>
      </c>
      <c r="N225" s="85" t="s">
        <v>11</v>
      </c>
      <c r="O225" s="85" t="s">
        <v>575</v>
      </c>
    </row>
    <row r="226" spans="1:15" s="29" customFormat="1" ht="240" x14ac:dyDescent="0.3">
      <c r="A226" s="82"/>
      <c r="B226" s="82" t="s">
        <v>0</v>
      </c>
      <c r="C226" s="82" t="s">
        <v>584</v>
      </c>
      <c r="D226" s="82" t="s">
        <v>817</v>
      </c>
      <c r="E226" s="82" t="s">
        <v>2</v>
      </c>
      <c r="F226" s="82">
        <v>45853</v>
      </c>
      <c r="G226" s="85" t="s">
        <v>3</v>
      </c>
      <c r="H226" s="83">
        <v>309</v>
      </c>
      <c r="I226" s="83">
        <v>0</v>
      </c>
      <c r="J226" s="83">
        <v>185</v>
      </c>
      <c r="K226" s="83">
        <v>0</v>
      </c>
      <c r="L226" s="83">
        <f t="shared" si="0"/>
        <v>494</v>
      </c>
      <c r="M226" s="85" t="s">
        <v>583</v>
      </c>
      <c r="N226" s="85" t="s">
        <v>11</v>
      </c>
      <c r="O226" s="85" t="s">
        <v>582</v>
      </c>
    </row>
    <row r="227" spans="1:15" s="29" customFormat="1" ht="216" x14ac:dyDescent="0.3">
      <c r="A227" s="82"/>
      <c r="B227" s="82" t="s">
        <v>0</v>
      </c>
      <c r="C227" s="82" t="s">
        <v>579</v>
      </c>
      <c r="D227" s="82" t="s">
        <v>817</v>
      </c>
      <c r="E227" s="82" t="s">
        <v>2</v>
      </c>
      <c r="F227" s="82">
        <v>45854</v>
      </c>
      <c r="G227" s="85" t="s">
        <v>3</v>
      </c>
      <c r="H227" s="86">
        <v>265</v>
      </c>
      <c r="I227" s="86">
        <v>0</v>
      </c>
      <c r="J227" s="86">
        <v>190</v>
      </c>
      <c r="K227" s="86">
        <v>2</v>
      </c>
      <c r="L227" s="86">
        <f t="shared" si="0"/>
        <v>457</v>
      </c>
      <c r="M227" s="85" t="s">
        <v>580</v>
      </c>
      <c r="N227" s="85" t="s">
        <v>11</v>
      </c>
      <c r="O227" s="85" t="s">
        <v>581</v>
      </c>
    </row>
    <row r="228" spans="1:15" s="29" customFormat="1" ht="288" x14ac:dyDescent="0.3">
      <c r="A228" s="82"/>
      <c r="B228" s="82" t="s">
        <v>36</v>
      </c>
      <c r="C228" s="82" t="s">
        <v>586</v>
      </c>
      <c r="D228" s="82" t="s">
        <v>12</v>
      </c>
      <c r="E228" s="82" t="s">
        <v>2</v>
      </c>
      <c r="F228" s="82" t="s">
        <v>821</v>
      </c>
      <c r="G228" s="85" t="s">
        <v>3</v>
      </c>
      <c r="H228" s="83">
        <v>150</v>
      </c>
      <c r="I228" s="83">
        <v>0</v>
      </c>
      <c r="J228" s="83">
        <v>16</v>
      </c>
      <c r="K228" s="83">
        <v>0</v>
      </c>
      <c r="L228" s="83">
        <f t="shared" si="0"/>
        <v>166</v>
      </c>
      <c r="M228" s="85" t="s">
        <v>4</v>
      </c>
      <c r="N228" s="85" t="s">
        <v>19</v>
      </c>
      <c r="O228" s="85" t="s">
        <v>587</v>
      </c>
    </row>
    <row r="229" spans="1:15" s="29" customFormat="1" ht="168" x14ac:dyDescent="0.3">
      <c r="A229" s="82"/>
      <c r="B229" s="82" t="s">
        <v>0</v>
      </c>
      <c r="C229" s="82" t="s">
        <v>588</v>
      </c>
      <c r="D229" s="82" t="s">
        <v>33</v>
      </c>
      <c r="E229" s="82" t="s">
        <v>2</v>
      </c>
      <c r="F229" s="82">
        <v>45857</v>
      </c>
      <c r="G229" s="85" t="s">
        <v>585</v>
      </c>
      <c r="H229" s="83">
        <v>0</v>
      </c>
      <c r="I229" s="83">
        <v>0</v>
      </c>
      <c r="J229" s="83">
        <v>3</v>
      </c>
      <c r="K229" s="83">
        <v>0</v>
      </c>
      <c r="L229" s="83">
        <f t="shared" si="0"/>
        <v>3</v>
      </c>
      <c r="M229" s="85" t="s">
        <v>4</v>
      </c>
      <c r="N229" s="85" t="s">
        <v>16</v>
      </c>
      <c r="O229" s="85" t="s">
        <v>589</v>
      </c>
    </row>
    <row r="230" spans="1:15" s="29" customFormat="1" ht="248.4" x14ac:dyDescent="0.3">
      <c r="A230" s="82"/>
      <c r="B230" s="111" t="s">
        <v>1</v>
      </c>
      <c r="C230" s="111" t="s">
        <v>568</v>
      </c>
      <c r="D230" s="111" t="s">
        <v>33</v>
      </c>
      <c r="E230" s="111" t="s">
        <v>2</v>
      </c>
      <c r="F230" s="111" t="s">
        <v>590</v>
      </c>
      <c r="G230" s="112" t="s">
        <v>34</v>
      </c>
      <c r="H230" s="113">
        <v>120</v>
      </c>
      <c r="I230" s="113">
        <v>0</v>
      </c>
      <c r="J230" s="113">
        <v>7</v>
      </c>
      <c r="K230" s="113">
        <v>0</v>
      </c>
      <c r="L230" s="113">
        <f t="shared" si="0"/>
        <v>127</v>
      </c>
      <c r="M230" s="112" t="s">
        <v>4</v>
      </c>
      <c r="N230" s="112" t="s">
        <v>11</v>
      </c>
      <c r="O230" s="112" t="s">
        <v>569</v>
      </c>
    </row>
    <row r="231" spans="1:15" s="29" customFormat="1" ht="110.4" x14ac:dyDescent="0.3">
      <c r="A231" s="82"/>
      <c r="B231" s="111" t="s">
        <v>591</v>
      </c>
      <c r="C231" s="111" t="s">
        <v>592</v>
      </c>
      <c r="D231" s="111" t="s">
        <v>33</v>
      </c>
      <c r="E231" s="111" t="s">
        <v>2</v>
      </c>
      <c r="F231" s="111" t="s">
        <v>593</v>
      </c>
      <c r="G231" s="112" t="s">
        <v>594</v>
      </c>
      <c r="H231" s="113">
        <v>0</v>
      </c>
      <c r="I231" s="113">
        <v>0</v>
      </c>
      <c r="J231" s="113">
        <v>20</v>
      </c>
      <c r="K231" s="113">
        <v>0</v>
      </c>
      <c r="L231" s="113">
        <v>20</v>
      </c>
      <c r="M231" s="114" t="s">
        <v>595</v>
      </c>
      <c r="N231" s="114" t="s">
        <v>19</v>
      </c>
      <c r="O231" s="112" t="s">
        <v>596</v>
      </c>
    </row>
    <row r="232" spans="1:15" s="29" customFormat="1" ht="193.2" x14ac:dyDescent="0.3">
      <c r="A232" s="82"/>
      <c r="B232" s="111" t="s">
        <v>0</v>
      </c>
      <c r="C232" s="111" t="s">
        <v>597</v>
      </c>
      <c r="D232" s="111" t="s">
        <v>12</v>
      </c>
      <c r="E232" s="111" t="s">
        <v>2</v>
      </c>
      <c r="F232" s="111">
        <v>45925</v>
      </c>
      <c r="G232" s="112" t="s">
        <v>3</v>
      </c>
      <c r="H232" s="113">
        <v>100</v>
      </c>
      <c r="I232" s="113">
        <v>100</v>
      </c>
      <c r="J232" s="113">
        <v>250</v>
      </c>
      <c r="K232" s="113">
        <v>0</v>
      </c>
      <c r="L232" s="113">
        <v>450</v>
      </c>
      <c r="M232" s="114" t="s">
        <v>595</v>
      </c>
      <c r="N232" s="114" t="s">
        <v>11</v>
      </c>
      <c r="O232" s="112" t="s">
        <v>598</v>
      </c>
    </row>
    <row r="233" spans="1:15" ht="235.2" x14ac:dyDescent="0.3">
      <c r="A233" s="94"/>
      <c r="B233" s="105" t="s">
        <v>627</v>
      </c>
      <c r="C233" s="105" t="s">
        <v>626</v>
      </c>
      <c r="D233" s="105" t="s">
        <v>33</v>
      </c>
      <c r="E233" s="105" t="s">
        <v>14</v>
      </c>
      <c r="F233" s="106">
        <v>45921</v>
      </c>
      <c r="G233" s="105" t="s">
        <v>628</v>
      </c>
      <c r="H233" s="105">
        <v>112</v>
      </c>
      <c r="I233" s="105">
        <v>0</v>
      </c>
      <c r="J233" s="105">
        <v>300</v>
      </c>
      <c r="K233" s="93">
        <v>0</v>
      </c>
      <c r="L233" s="107">
        <v>412</v>
      </c>
      <c r="M233" s="93" t="s">
        <v>41</v>
      </c>
      <c r="N233" s="105" t="s">
        <v>16</v>
      </c>
      <c r="O233" s="105" t="s">
        <v>629</v>
      </c>
    </row>
    <row r="234" spans="1:15" s="29" customFormat="1" ht="82.8" x14ac:dyDescent="0.3">
      <c r="A234" s="31"/>
      <c r="B234" s="115" t="s">
        <v>28</v>
      </c>
      <c r="C234" s="115" t="s">
        <v>599</v>
      </c>
      <c r="D234" s="115" t="s">
        <v>12</v>
      </c>
      <c r="E234" s="115" t="s">
        <v>2</v>
      </c>
      <c r="F234" s="115">
        <v>45930</v>
      </c>
      <c r="G234" s="112" t="s">
        <v>600</v>
      </c>
      <c r="H234" s="116">
        <v>0</v>
      </c>
      <c r="I234" s="116">
        <v>0</v>
      </c>
      <c r="J234" s="116">
        <v>5</v>
      </c>
      <c r="K234" s="116">
        <v>0</v>
      </c>
      <c r="L234" s="116">
        <v>5</v>
      </c>
      <c r="M234" s="114" t="s">
        <v>595</v>
      </c>
      <c r="N234" s="114" t="s">
        <v>16</v>
      </c>
      <c r="O234" s="112" t="s">
        <v>601</v>
      </c>
    </row>
    <row r="235" spans="1:15" s="29" customFormat="1" ht="41.4" x14ac:dyDescent="0.3">
      <c r="A235" s="31"/>
      <c r="B235" s="115" t="s">
        <v>28</v>
      </c>
      <c r="C235" s="115" t="s">
        <v>602</v>
      </c>
      <c r="D235" s="115" t="s">
        <v>603</v>
      </c>
      <c r="E235" s="115" t="s">
        <v>2</v>
      </c>
      <c r="F235" s="115">
        <v>45955</v>
      </c>
      <c r="G235" s="112" t="s">
        <v>34</v>
      </c>
      <c r="H235" s="116">
        <v>0</v>
      </c>
      <c r="I235" s="116">
        <v>0</v>
      </c>
      <c r="J235" s="116">
        <v>0</v>
      </c>
      <c r="K235" s="116">
        <v>0</v>
      </c>
      <c r="L235" s="116">
        <v>0</v>
      </c>
      <c r="M235" s="114" t="s">
        <v>595</v>
      </c>
      <c r="N235" s="114" t="s">
        <v>19</v>
      </c>
      <c r="O235" s="112"/>
    </row>
    <row r="236" spans="1:15" s="12" customFormat="1" ht="54" customHeight="1" x14ac:dyDescent="0.3">
      <c r="A236" s="91"/>
      <c r="B236" s="105" t="s">
        <v>624</v>
      </c>
      <c r="C236" s="105" t="s">
        <v>623</v>
      </c>
      <c r="D236" s="105" t="s">
        <v>817</v>
      </c>
      <c r="E236" s="105" t="s">
        <v>14</v>
      </c>
      <c r="F236" s="106">
        <v>45939</v>
      </c>
      <c r="G236" s="105" t="s">
        <v>619</v>
      </c>
      <c r="H236" s="91">
        <v>0</v>
      </c>
      <c r="I236" s="105">
        <v>354</v>
      </c>
      <c r="J236" s="105">
        <v>576</v>
      </c>
      <c r="K236" s="91">
        <v>0</v>
      </c>
      <c r="L236" s="105">
        <v>930</v>
      </c>
      <c r="M236" s="91" t="s">
        <v>41</v>
      </c>
      <c r="N236" s="91" t="s">
        <v>11</v>
      </c>
      <c r="O236" s="105" t="s">
        <v>625</v>
      </c>
    </row>
    <row r="237" spans="1:15" ht="54" customHeight="1" x14ac:dyDescent="0.3">
      <c r="A237" s="91"/>
      <c r="B237" s="91" t="s">
        <v>0</v>
      </c>
      <c r="C237" s="117" t="s">
        <v>618</v>
      </c>
      <c r="D237" s="117" t="s">
        <v>817</v>
      </c>
      <c r="E237" s="91" t="s">
        <v>15</v>
      </c>
      <c r="F237" s="92">
        <v>45942</v>
      </c>
      <c r="G237" s="91" t="s">
        <v>619</v>
      </c>
      <c r="H237" s="91">
        <v>0</v>
      </c>
      <c r="I237" s="91">
        <v>38</v>
      </c>
      <c r="J237" s="91">
        <v>110</v>
      </c>
      <c r="K237" s="91">
        <v>0</v>
      </c>
      <c r="L237" s="91">
        <v>148</v>
      </c>
      <c r="M237" s="91" t="s">
        <v>41</v>
      </c>
      <c r="N237" s="91" t="s">
        <v>11</v>
      </c>
      <c r="O237" s="91" t="s">
        <v>620</v>
      </c>
    </row>
    <row r="238" spans="1:15" ht="138" x14ac:dyDescent="0.3">
      <c r="A238" s="91"/>
      <c r="B238" s="91" t="s">
        <v>28</v>
      </c>
      <c r="C238" s="91" t="s">
        <v>621</v>
      </c>
      <c r="D238" s="117" t="s">
        <v>817</v>
      </c>
      <c r="E238" s="91" t="s">
        <v>14</v>
      </c>
      <c r="F238" s="92">
        <v>45958</v>
      </c>
      <c r="G238" s="91" t="s">
        <v>619</v>
      </c>
      <c r="H238" s="91"/>
      <c r="I238" s="91">
        <v>8</v>
      </c>
      <c r="J238" s="91">
        <v>32</v>
      </c>
      <c r="K238" s="91">
        <v>0</v>
      </c>
      <c r="L238" s="91">
        <v>40</v>
      </c>
      <c r="M238" s="91" t="s">
        <v>41</v>
      </c>
      <c r="N238" s="91" t="s">
        <v>11</v>
      </c>
      <c r="O238" s="91" t="s">
        <v>622</v>
      </c>
    </row>
    <row r="239" spans="1:15" s="29" customFormat="1" ht="82.8" x14ac:dyDescent="0.3">
      <c r="A239" s="31"/>
      <c r="B239" s="115" t="s">
        <v>28</v>
      </c>
      <c r="C239" s="115" t="s">
        <v>604</v>
      </c>
      <c r="D239" s="115" t="s">
        <v>12</v>
      </c>
      <c r="E239" s="115" t="s">
        <v>2</v>
      </c>
      <c r="F239" s="115">
        <v>45958</v>
      </c>
      <c r="G239" s="112" t="s">
        <v>600</v>
      </c>
      <c r="H239" s="116">
        <v>0</v>
      </c>
      <c r="I239" s="116">
        <v>0</v>
      </c>
      <c r="J239" s="116">
        <v>10</v>
      </c>
      <c r="K239" s="116">
        <v>0</v>
      </c>
      <c r="L239" s="116">
        <v>10</v>
      </c>
      <c r="M239" s="114" t="s">
        <v>595</v>
      </c>
      <c r="N239" s="114" t="s">
        <v>16</v>
      </c>
      <c r="O239" s="112" t="s">
        <v>605</v>
      </c>
    </row>
    <row r="240" spans="1:15" s="29" customFormat="1" ht="96.6" x14ac:dyDescent="0.3">
      <c r="A240" s="31"/>
      <c r="B240" s="115" t="s">
        <v>28</v>
      </c>
      <c r="C240" s="115" t="s">
        <v>606</v>
      </c>
      <c r="D240" s="115" t="s">
        <v>33</v>
      </c>
      <c r="E240" s="115" t="s">
        <v>2</v>
      </c>
      <c r="F240" s="115" t="s">
        <v>822</v>
      </c>
      <c r="G240" s="112" t="s">
        <v>607</v>
      </c>
      <c r="H240" s="116">
        <v>0</v>
      </c>
      <c r="I240" s="116">
        <v>0</v>
      </c>
      <c r="J240" s="116">
        <v>6</v>
      </c>
      <c r="K240" s="116">
        <v>0</v>
      </c>
      <c r="L240" s="116">
        <v>6</v>
      </c>
      <c r="M240" s="114" t="s">
        <v>595</v>
      </c>
      <c r="N240" s="114" t="s">
        <v>16</v>
      </c>
      <c r="O240" s="112" t="s">
        <v>617</v>
      </c>
    </row>
    <row r="241" spans="1:15" s="29" customFormat="1" ht="110.4" x14ac:dyDescent="0.3">
      <c r="A241" s="31"/>
      <c r="B241" s="115" t="s">
        <v>0</v>
      </c>
      <c r="C241" s="115" t="s">
        <v>611</v>
      </c>
      <c r="D241" s="115" t="s">
        <v>817</v>
      </c>
      <c r="E241" s="115" t="s">
        <v>2</v>
      </c>
      <c r="F241" s="115" t="s">
        <v>612</v>
      </c>
      <c r="G241" s="112" t="s">
        <v>34</v>
      </c>
      <c r="H241" s="116">
        <v>0</v>
      </c>
      <c r="I241" s="116">
        <v>30</v>
      </c>
      <c r="J241" s="116">
        <v>65</v>
      </c>
      <c r="K241" s="116">
        <v>0</v>
      </c>
      <c r="L241" s="116">
        <v>95</v>
      </c>
      <c r="M241" s="114" t="s">
        <v>595</v>
      </c>
      <c r="N241" s="114" t="s">
        <v>11</v>
      </c>
      <c r="O241" s="112" t="s">
        <v>615</v>
      </c>
    </row>
    <row r="242" spans="1:15" s="29" customFormat="1" ht="96.6" x14ac:dyDescent="0.3">
      <c r="A242" s="31"/>
      <c r="B242" s="115" t="s">
        <v>28</v>
      </c>
      <c r="C242" s="115" t="s">
        <v>608</v>
      </c>
      <c r="D242" s="115" t="s">
        <v>33</v>
      </c>
      <c r="E242" s="115" t="s">
        <v>2</v>
      </c>
      <c r="F242" s="115" t="s">
        <v>609</v>
      </c>
      <c r="G242" s="112" t="s">
        <v>610</v>
      </c>
      <c r="H242" s="116">
        <v>0</v>
      </c>
      <c r="I242" s="116">
        <v>0</v>
      </c>
      <c r="J242" s="116">
        <v>4</v>
      </c>
      <c r="K242" s="116">
        <v>0</v>
      </c>
      <c r="L242" s="116">
        <v>4</v>
      </c>
      <c r="M242" s="114" t="s">
        <v>595</v>
      </c>
      <c r="N242" s="114" t="s">
        <v>16</v>
      </c>
      <c r="O242" s="112" t="s">
        <v>616</v>
      </c>
    </row>
    <row r="243" spans="1:15" s="29" customFormat="1" ht="41.4" x14ac:dyDescent="0.3">
      <c r="A243" s="95"/>
      <c r="B243" s="118" t="s">
        <v>0</v>
      </c>
      <c r="C243" s="118" t="s">
        <v>613</v>
      </c>
      <c r="D243" s="118" t="s">
        <v>12</v>
      </c>
      <c r="E243" s="118" t="s">
        <v>2</v>
      </c>
      <c r="F243" s="118" t="s">
        <v>614</v>
      </c>
      <c r="G243" s="119" t="s">
        <v>34</v>
      </c>
      <c r="H243" s="120">
        <v>0</v>
      </c>
      <c r="I243" s="120">
        <v>10</v>
      </c>
      <c r="J243" s="120">
        <v>30</v>
      </c>
      <c r="K243" s="120">
        <v>0</v>
      </c>
      <c r="L243" s="120">
        <v>40</v>
      </c>
      <c r="M243" s="121" t="s">
        <v>595</v>
      </c>
      <c r="N243" s="121" t="s">
        <v>19</v>
      </c>
      <c r="O243" s="119"/>
    </row>
    <row r="244" spans="1:15" s="97" customFormat="1" ht="138" x14ac:dyDescent="0.25">
      <c r="A244" s="98"/>
      <c r="B244" s="108" t="s">
        <v>631</v>
      </c>
      <c r="C244" s="109" t="s">
        <v>630</v>
      </c>
      <c r="D244" s="110" t="s">
        <v>817</v>
      </c>
      <c r="E244" s="110" t="s">
        <v>14</v>
      </c>
      <c r="F244" s="102">
        <v>45931</v>
      </c>
      <c r="G244" s="99" t="s">
        <v>619</v>
      </c>
      <c r="H244" s="122">
        <v>0</v>
      </c>
      <c r="I244" s="110">
        <v>3</v>
      </c>
      <c r="J244" s="110">
        <v>26</v>
      </c>
      <c r="K244" s="110">
        <v>10</v>
      </c>
      <c r="L244" s="110">
        <v>29</v>
      </c>
      <c r="M244" s="110" t="s">
        <v>632</v>
      </c>
      <c r="N244" s="123" t="s">
        <v>11</v>
      </c>
      <c r="O244" s="108" t="s">
        <v>633</v>
      </c>
    </row>
    <row r="245" spans="1:15" s="100" customFormat="1" ht="55.2" x14ac:dyDescent="0.3">
      <c r="A245" s="101"/>
      <c r="B245" s="103" t="s">
        <v>631</v>
      </c>
      <c r="C245" s="103" t="s">
        <v>634</v>
      </c>
      <c r="D245" s="103" t="s">
        <v>817</v>
      </c>
      <c r="E245" s="103" t="s">
        <v>14</v>
      </c>
      <c r="F245" s="104">
        <v>46002</v>
      </c>
      <c r="G245" s="91" t="s">
        <v>619</v>
      </c>
      <c r="H245" s="103">
        <v>0</v>
      </c>
      <c r="I245" s="103">
        <v>6</v>
      </c>
      <c r="J245" s="103">
        <v>14</v>
      </c>
      <c r="K245" s="103"/>
      <c r="L245" s="103">
        <v>20</v>
      </c>
      <c r="M245" s="103" t="s">
        <v>635</v>
      </c>
      <c r="N245" s="103" t="s">
        <v>11</v>
      </c>
      <c r="O245" s="103" t="s">
        <v>636</v>
      </c>
    </row>
    <row r="246" spans="1:15" ht="27.6" x14ac:dyDescent="0.3">
      <c r="A246" s="101"/>
      <c r="B246" s="103" t="s">
        <v>631</v>
      </c>
      <c r="C246" s="103" t="s">
        <v>637</v>
      </c>
      <c r="D246" s="103" t="s">
        <v>817</v>
      </c>
      <c r="E246" s="103" t="s">
        <v>14</v>
      </c>
      <c r="F246" s="104">
        <v>46001</v>
      </c>
      <c r="G246" s="91" t="s">
        <v>619</v>
      </c>
      <c r="H246" s="103">
        <v>0</v>
      </c>
      <c r="I246" s="103">
        <v>5</v>
      </c>
      <c r="J246" s="103">
        <v>12</v>
      </c>
      <c r="K246" s="103"/>
      <c r="L246" s="103">
        <v>17</v>
      </c>
      <c r="M246" s="103" t="s">
        <v>635</v>
      </c>
      <c r="N246" s="103" t="s">
        <v>11</v>
      </c>
      <c r="O246" s="103" t="s">
        <v>638</v>
      </c>
    </row>
    <row r="247" spans="1:15" ht="27.6" x14ac:dyDescent="0.3">
      <c r="A247" s="101"/>
      <c r="B247" s="103" t="s">
        <v>631</v>
      </c>
      <c r="C247" s="103" t="s">
        <v>639</v>
      </c>
      <c r="D247" s="103" t="s">
        <v>817</v>
      </c>
      <c r="E247" s="103" t="s">
        <v>14</v>
      </c>
      <c r="F247" s="104">
        <v>45994</v>
      </c>
      <c r="G247" s="91" t="s">
        <v>619</v>
      </c>
      <c r="H247" s="103">
        <v>0</v>
      </c>
      <c r="I247" s="103">
        <v>5</v>
      </c>
      <c r="J247" s="103">
        <v>46</v>
      </c>
      <c r="K247" s="103">
        <v>0</v>
      </c>
      <c r="L247" s="103">
        <v>51</v>
      </c>
      <c r="M247" s="103" t="s">
        <v>635</v>
      </c>
      <c r="N247" s="103" t="s">
        <v>11</v>
      </c>
      <c r="O247" s="103" t="s">
        <v>640</v>
      </c>
    </row>
    <row r="248" spans="1:15" ht="27.6" x14ac:dyDescent="0.3">
      <c r="A248" s="101"/>
      <c r="B248" s="103" t="s">
        <v>631</v>
      </c>
      <c r="C248" s="103" t="s">
        <v>641</v>
      </c>
      <c r="D248" s="103" t="s">
        <v>817</v>
      </c>
      <c r="E248" s="103" t="s">
        <v>14</v>
      </c>
      <c r="F248" s="104">
        <v>45986</v>
      </c>
      <c r="G248" s="91" t="s">
        <v>619</v>
      </c>
      <c r="H248" s="103">
        <v>0</v>
      </c>
      <c r="I248" s="103">
        <v>3</v>
      </c>
      <c r="J248" s="103">
        <v>12</v>
      </c>
      <c r="K248" s="103">
        <v>0</v>
      </c>
      <c r="L248" s="103">
        <v>15</v>
      </c>
      <c r="M248" s="103" t="s">
        <v>635</v>
      </c>
      <c r="N248" s="103" t="s">
        <v>11</v>
      </c>
      <c r="O248" s="103" t="s">
        <v>642</v>
      </c>
    </row>
    <row r="249" spans="1:15" ht="27.6" x14ac:dyDescent="0.3">
      <c r="A249" s="101"/>
      <c r="B249" s="103" t="s">
        <v>631</v>
      </c>
      <c r="C249" s="103" t="s">
        <v>643</v>
      </c>
      <c r="D249" s="103" t="s">
        <v>817</v>
      </c>
      <c r="E249" s="103" t="s">
        <v>14</v>
      </c>
      <c r="F249" s="104">
        <v>45982</v>
      </c>
      <c r="G249" s="91" t="s">
        <v>619</v>
      </c>
      <c r="H249" s="103">
        <v>0</v>
      </c>
      <c r="I249" s="103">
        <v>3</v>
      </c>
      <c r="J249" s="103">
        <v>16</v>
      </c>
      <c r="K249" s="103">
        <v>0</v>
      </c>
      <c r="L249" s="103">
        <v>19</v>
      </c>
      <c r="M249" s="103" t="s">
        <v>635</v>
      </c>
      <c r="N249" s="103" t="s">
        <v>11</v>
      </c>
      <c r="O249" s="103" t="s">
        <v>644</v>
      </c>
    </row>
    <row r="250" spans="1:15" ht="27.6" x14ac:dyDescent="0.3">
      <c r="A250" s="101"/>
      <c r="B250" s="103" t="s">
        <v>631</v>
      </c>
      <c r="C250" s="103" t="s">
        <v>645</v>
      </c>
      <c r="D250" s="103" t="s">
        <v>817</v>
      </c>
      <c r="E250" s="103" t="s">
        <v>14</v>
      </c>
      <c r="F250" s="104">
        <v>45971</v>
      </c>
      <c r="G250" s="91" t="s">
        <v>619</v>
      </c>
      <c r="H250" s="103">
        <v>0</v>
      </c>
      <c r="I250" s="103">
        <v>10</v>
      </c>
      <c r="J250" s="103">
        <v>21</v>
      </c>
      <c r="K250" s="103">
        <v>0</v>
      </c>
      <c r="L250" s="103">
        <v>31</v>
      </c>
      <c r="M250" s="103" t="s">
        <v>635</v>
      </c>
      <c r="N250" s="103" t="s">
        <v>11</v>
      </c>
      <c r="O250" s="103" t="s">
        <v>646</v>
      </c>
    </row>
    <row r="251" spans="1:15" ht="27.6" x14ac:dyDescent="0.3">
      <c r="A251" s="101"/>
      <c r="B251" s="103" t="s">
        <v>631</v>
      </c>
      <c r="C251" s="103" t="s">
        <v>647</v>
      </c>
      <c r="D251" s="103" t="s">
        <v>817</v>
      </c>
      <c r="E251" s="103" t="s">
        <v>14</v>
      </c>
      <c r="F251" s="104">
        <v>45967</v>
      </c>
      <c r="G251" s="91" t="s">
        <v>619</v>
      </c>
      <c r="H251" s="103">
        <v>0</v>
      </c>
      <c r="I251" s="103">
        <v>6</v>
      </c>
      <c r="J251" s="103">
        <v>37</v>
      </c>
      <c r="K251" s="103">
        <v>0</v>
      </c>
      <c r="L251" s="103">
        <v>43</v>
      </c>
      <c r="M251" s="103" t="s">
        <v>635</v>
      </c>
      <c r="N251" s="103" t="s">
        <v>11</v>
      </c>
      <c r="O251" s="103" t="s">
        <v>648</v>
      </c>
    </row>
    <row r="252" spans="1:15" ht="41.4" x14ac:dyDescent="0.3">
      <c r="A252" s="101"/>
      <c r="B252" s="103" t="s">
        <v>631</v>
      </c>
      <c r="C252" s="103" t="s">
        <v>649</v>
      </c>
      <c r="D252" s="103" t="s">
        <v>817</v>
      </c>
      <c r="E252" s="103" t="s">
        <v>14</v>
      </c>
      <c r="F252" s="104">
        <v>46002</v>
      </c>
      <c r="G252" s="91" t="s">
        <v>619</v>
      </c>
      <c r="H252" s="103">
        <v>0</v>
      </c>
      <c r="I252" s="103">
        <v>0</v>
      </c>
      <c r="J252" s="103">
        <v>55</v>
      </c>
      <c r="K252" s="103">
        <v>0</v>
      </c>
      <c r="L252" s="103">
        <v>55</v>
      </c>
      <c r="M252" s="103" t="s">
        <v>650</v>
      </c>
      <c r="N252" s="103" t="s">
        <v>11</v>
      </c>
      <c r="O252" s="103" t="s">
        <v>651</v>
      </c>
    </row>
    <row r="253" spans="1:15" ht="55.2" x14ac:dyDescent="0.3">
      <c r="A253" s="101"/>
      <c r="B253" s="103" t="s">
        <v>631</v>
      </c>
      <c r="C253" s="103" t="s">
        <v>652</v>
      </c>
      <c r="D253" s="103" t="s">
        <v>817</v>
      </c>
      <c r="E253" s="103" t="s">
        <v>14</v>
      </c>
      <c r="F253" s="104">
        <v>45985</v>
      </c>
      <c r="G253" s="91" t="s">
        <v>619</v>
      </c>
      <c r="H253" s="103">
        <v>0</v>
      </c>
      <c r="I253" s="103">
        <v>0</v>
      </c>
      <c r="J253" s="103">
        <v>39</v>
      </c>
      <c r="K253" s="103">
        <v>0</v>
      </c>
      <c r="L253" s="103">
        <v>39</v>
      </c>
      <c r="M253" s="103" t="s">
        <v>653</v>
      </c>
      <c r="N253" s="103" t="s">
        <v>11</v>
      </c>
      <c r="O253" s="103" t="s">
        <v>654</v>
      </c>
    </row>
    <row r="254" spans="1:15" ht="55.2" x14ac:dyDescent="0.3">
      <c r="A254" s="101"/>
      <c r="B254" s="103" t="s">
        <v>631</v>
      </c>
      <c r="C254" s="103" t="s">
        <v>655</v>
      </c>
      <c r="D254" s="103" t="s">
        <v>817</v>
      </c>
      <c r="E254" s="103" t="s">
        <v>14</v>
      </c>
      <c r="F254" s="104">
        <v>45972</v>
      </c>
      <c r="G254" s="91" t="s">
        <v>619</v>
      </c>
      <c r="H254" s="103">
        <v>0</v>
      </c>
      <c r="I254" s="103">
        <v>0</v>
      </c>
      <c r="J254" s="103">
        <v>33</v>
      </c>
      <c r="K254" s="103">
        <v>0</v>
      </c>
      <c r="L254" s="103">
        <v>33</v>
      </c>
      <c r="M254" s="103" t="s">
        <v>653</v>
      </c>
      <c r="N254" s="103" t="s">
        <v>11</v>
      </c>
      <c r="O254" s="103" t="s">
        <v>656</v>
      </c>
    </row>
    <row r="255" spans="1:15" s="87" customFormat="1" ht="69" x14ac:dyDescent="0.3">
      <c r="A255" s="101"/>
      <c r="B255" s="103" t="s">
        <v>631</v>
      </c>
      <c r="C255" s="103" t="s">
        <v>657</v>
      </c>
      <c r="D255" s="103" t="s">
        <v>817</v>
      </c>
      <c r="E255" s="103" t="s">
        <v>14</v>
      </c>
      <c r="F255" s="104">
        <v>45960</v>
      </c>
      <c r="G255" s="91" t="s">
        <v>619</v>
      </c>
      <c r="H255" s="103">
        <v>0</v>
      </c>
      <c r="I255" s="103">
        <v>2</v>
      </c>
      <c r="J255" s="103">
        <v>26</v>
      </c>
      <c r="K255" s="103">
        <v>0</v>
      </c>
      <c r="L255" s="103">
        <v>28</v>
      </c>
      <c r="M255" s="103" t="s">
        <v>635</v>
      </c>
      <c r="N255" s="103" t="s">
        <v>11</v>
      </c>
      <c r="O255" s="103" t="s">
        <v>658</v>
      </c>
    </row>
    <row r="256" spans="1:15" s="87" customFormat="1" ht="41.4" x14ac:dyDescent="0.3">
      <c r="A256" s="96"/>
      <c r="B256" s="103" t="s">
        <v>631</v>
      </c>
      <c r="C256" s="103" t="s">
        <v>659</v>
      </c>
      <c r="D256" s="103" t="s">
        <v>817</v>
      </c>
      <c r="E256" s="103" t="s">
        <v>14</v>
      </c>
      <c r="F256" s="104">
        <v>46007</v>
      </c>
      <c r="G256" s="91" t="s">
        <v>619</v>
      </c>
      <c r="H256" s="103">
        <v>0</v>
      </c>
      <c r="I256" s="103">
        <v>2</v>
      </c>
      <c r="J256" s="103">
        <v>10</v>
      </c>
      <c r="K256" s="103">
        <v>0</v>
      </c>
      <c r="L256" s="103">
        <v>12</v>
      </c>
      <c r="M256" s="103" t="s">
        <v>660</v>
      </c>
      <c r="N256" s="103" t="s">
        <v>11</v>
      </c>
      <c r="O256" s="103"/>
    </row>
    <row r="257" spans="2:15" s="87" customFormat="1" ht="27.6" x14ac:dyDescent="0.3">
      <c r="B257" s="103" t="s">
        <v>631</v>
      </c>
      <c r="C257" s="103" t="s">
        <v>661</v>
      </c>
      <c r="D257" s="103" t="s">
        <v>817</v>
      </c>
      <c r="E257" s="103" t="s">
        <v>14</v>
      </c>
      <c r="F257" s="104">
        <v>45981</v>
      </c>
      <c r="G257" s="91" t="s">
        <v>619</v>
      </c>
      <c r="H257" s="103">
        <v>0</v>
      </c>
      <c r="I257" s="103">
        <v>0</v>
      </c>
      <c r="J257" s="103">
        <v>35</v>
      </c>
      <c r="K257" s="103">
        <v>0</v>
      </c>
      <c r="L257" s="103">
        <v>35</v>
      </c>
      <c r="M257" s="103" t="s">
        <v>650</v>
      </c>
      <c r="N257" s="103" t="s">
        <v>11</v>
      </c>
      <c r="O257" s="103" t="s">
        <v>662</v>
      </c>
    </row>
    <row r="258" spans="2:15" s="87" customFormat="1" ht="27.6" x14ac:dyDescent="0.3">
      <c r="B258" s="103" t="s">
        <v>631</v>
      </c>
      <c r="C258" s="103" t="s">
        <v>663</v>
      </c>
      <c r="D258" s="103" t="s">
        <v>817</v>
      </c>
      <c r="E258" s="103" t="s">
        <v>14</v>
      </c>
      <c r="F258" s="104">
        <v>45961</v>
      </c>
      <c r="G258" s="91" t="s">
        <v>619</v>
      </c>
      <c r="H258" s="103">
        <v>0</v>
      </c>
      <c r="I258" s="103">
        <v>0</v>
      </c>
      <c r="J258" s="103">
        <v>24</v>
      </c>
      <c r="K258" s="103">
        <v>0</v>
      </c>
      <c r="L258" s="103">
        <v>24</v>
      </c>
      <c r="M258" s="103" t="s">
        <v>650</v>
      </c>
      <c r="N258" s="103" t="s">
        <v>11</v>
      </c>
      <c r="O258" s="103" t="s">
        <v>664</v>
      </c>
    </row>
    <row r="259" spans="2:15" s="87" customFormat="1" ht="96.6" x14ac:dyDescent="0.3">
      <c r="B259" s="103" t="s">
        <v>631</v>
      </c>
      <c r="C259" s="103" t="s">
        <v>665</v>
      </c>
      <c r="D259" s="103" t="s">
        <v>817</v>
      </c>
      <c r="E259" s="103" t="s">
        <v>14</v>
      </c>
      <c r="F259" s="104">
        <v>45658</v>
      </c>
      <c r="G259" s="91" t="s">
        <v>619</v>
      </c>
      <c r="H259" s="103">
        <v>0</v>
      </c>
      <c r="I259" s="103">
        <v>0</v>
      </c>
      <c r="J259" s="103">
        <v>32</v>
      </c>
      <c r="K259" s="103">
        <v>0</v>
      </c>
      <c r="L259" s="103">
        <v>32</v>
      </c>
      <c r="M259" s="103" t="s">
        <v>650</v>
      </c>
      <c r="N259" s="103" t="s">
        <v>11</v>
      </c>
      <c r="O259" s="103" t="s">
        <v>666</v>
      </c>
    </row>
    <row r="260" spans="2:15" s="87" customFormat="1" ht="151.80000000000001" x14ac:dyDescent="0.3">
      <c r="B260" s="103" t="s">
        <v>631</v>
      </c>
      <c r="C260" s="103" t="s">
        <v>667</v>
      </c>
      <c r="D260" s="103" t="s">
        <v>817</v>
      </c>
      <c r="E260" s="103" t="s">
        <v>14</v>
      </c>
      <c r="F260" s="104">
        <v>45989</v>
      </c>
      <c r="G260" s="91" t="s">
        <v>619</v>
      </c>
      <c r="H260" s="103">
        <v>0</v>
      </c>
      <c r="I260" s="103">
        <v>5</v>
      </c>
      <c r="J260" s="103">
        <v>23</v>
      </c>
      <c r="K260" s="103">
        <v>0</v>
      </c>
      <c r="L260" s="103">
        <v>28</v>
      </c>
      <c r="M260" s="103" t="s">
        <v>660</v>
      </c>
      <c r="N260" s="103" t="s">
        <v>11</v>
      </c>
      <c r="O260" s="103" t="s">
        <v>668</v>
      </c>
    </row>
    <row r="261" spans="2:15" s="87" customFormat="1" ht="27.6" x14ac:dyDescent="0.3">
      <c r="B261" s="103" t="s">
        <v>631</v>
      </c>
      <c r="C261" s="103" t="s">
        <v>669</v>
      </c>
      <c r="D261" s="103" t="s">
        <v>817</v>
      </c>
      <c r="E261" s="103" t="s">
        <v>14</v>
      </c>
      <c r="F261" s="104">
        <v>45956</v>
      </c>
      <c r="G261" s="91" t="s">
        <v>619</v>
      </c>
      <c r="H261" s="103">
        <v>0</v>
      </c>
      <c r="I261" s="103">
        <v>4</v>
      </c>
      <c r="J261" s="103">
        <v>16</v>
      </c>
      <c r="K261" s="103">
        <v>0</v>
      </c>
      <c r="L261" s="103">
        <v>20</v>
      </c>
      <c r="M261" s="103" t="s">
        <v>635</v>
      </c>
      <c r="N261" s="103" t="s">
        <v>11</v>
      </c>
      <c r="O261" s="103" t="s">
        <v>670</v>
      </c>
    </row>
    <row r="262" spans="2:15" s="87" customFormat="1" ht="27.6" x14ac:dyDescent="0.3">
      <c r="B262" s="103" t="s">
        <v>631</v>
      </c>
      <c r="C262" s="103" t="s">
        <v>671</v>
      </c>
      <c r="D262" s="103" t="s">
        <v>817</v>
      </c>
      <c r="E262" s="103" t="s">
        <v>14</v>
      </c>
      <c r="F262" s="104">
        <v>45946</v>
      </c>
      <c r="G262" s="91" t="s">
        <v>619</v>
      </c>
      <c r="H262" s="103">
        <v>0</v>
      </c>
      <c r="I262" s="103">
        <v>9</v>
      </c>
      <c r="J262" s="103">
        <v>21</v>
      </c>
      <c r="K262" s="103">
        <v>0</v>
      </c>
      <c r="L262" s="103">
        <v>30</v>
      </c>
      <c r="M262" s="103" t="s">
        <v>660</v>
      </c>
      <c r="N262" s="103" t="s">
        <v>11</v>
      </c>
      <c r="O262" s="103"/>
    </row>
    <row r="263" spans="2:15" s="87" customFormat="1" ht="138" x14ac:dyDescent="0.3">
      <c r="B263" s="103" t="s">
        <v>674</v>
      </c>
      <c r="C263" s="103" t="s">
        <v>672</v>
      </c>
      <c r="D263" s="103" t="s">
        <v>673</v>
      </c>
      <c r="E263" s="103" t="s">
        <v>14</v>
      </c>
      <c r="F263" s="104">
        <v>45982</v>
      </c>
      <c r="G263" s="103" t="s">
        <v>675</v>
      </c>
      <c r="H263" s="103">
        <v>0</v>
      </c>
      <c r="I263" s="103">
        <v>0</v>
      </c>
      <c r="J263" s="103">
        <v>28</v>
      </c>
      <c r="K263" s="103">
        <v>0</v>
      </c>
      <c r="L263" s="103">
        <v>28</v>
      </c>
      <c r="M263" s="103" t="s">
        <v>676</v>
      </c>
      <c r="N263" s="103" t="s">
        <v>11</v>
      </c>
      <c r="O263" s="103" t="s">
        <v>677</v>
      </c>
    </row>
    <row r="264" spans="2:15" s="87" customFormat="1" ht="55.2" x14ac:dyDescent="0.3">
      <c r="B264" s="103" t="s">
        <v>631</v>
      </c>
      <c r="C264" s="103" t="s">
        <v>678</v>
      </c>
      <c r="D264" s="103" t="s">
        <v>817</v>
      </c>
      <c r="E264" s="103" t="s">
        <v>14</v>
      </c>
      <c r="F264" s="104">
        <v>45971</v>
      </c>
      <c r="G264" s="91" t="s">
        <v>619</v>
      </c>
      <c r="H264" s="103">
        <v>0</v>
      </c>
      <c r="I264" s="103">
        <v>13</v>
      </c>
      <c r="J264" s="103">
        <v>46</v>
      </c>
      <c r="K264" s="103">
        <v>0</v>
      </c>
      <c r="L264" s="103">
        <v>63</v>
      </c>
      <c r="M264" s="103" t="s">
        <v>679</v>
      </c>
      <c r="N264" s="103" t="s">
        <v>11</v>
      </c>
      <c r="O264" s="103" t="s">
        <v>680</v>
      </c>
    </row>
    <row r="265" spans="2:15" s="87" customFormat="1" ht="27.6" x14ac:dyDescent="0.3">
      <c r="B265" s="103" t="s">
        <v>631</v>
      </c>
      <c r="C265" s="103" t="s">
        <v>681</v>
      </c>
      <c r="D265" s="103" t="s">
        <v>817</v>
      </c>
      <c r="E265" s="103" t="s">
        <v>14</v>
      </c>
      <c r="F265" s="104">
        <v>45954</v>
      </c>
      <c r="G265" s="91" t="s">
        <v>619</v>
      </c>
      <c r="H265" s="103">
        <v>0</v>
      </c>
      <c r="I265" s="103">
        <v>0</v>
      </c>
      <c r="J265" s="103">
        <v>31</v>
      </c>
      <c r="K265" s="103">
        <v>0</v>
      </c>
      <c r="L265" s="103">
        <v>31</v>
      </c>
      <c r="M265" s="103" t="s">
        <v>635</v>
      </c>
      <c r="N265" s="103" t="s">
        <v>11</v>
      </c>
      <c r="O265" s="103" t="s">
        <v>681</v>
      </c>
    </row>
    <row r="266" spans="2:15" s="87" customFormat="1" ht="27.6" x14ac:dyDescent="0.3">
      <c r="B266" s="103" t="s">
        <v>631</v>
      </c>
      <c r="C266" s="103" t="s">
        <v>682</v>
      </c>
      <c r="D266" s="103" t="s">
        <v>817</v>
      </c>
      <c r="E266" s="103" t="s">
        <v>14</v>
      </c>
      <c r="F266" s="104">
        <v>45950</v>
      </c>
      <c r="G266" s="91" t="s">
        <v>619</v>
      </c>
      <c r="H266" s="103">
        <v>0</v>
      </c>
      <c r="I266" s="103">
        <v>0</v>
      </c>
      <c r="J266" s="103">
        <v>24</v>
      </c>
      <c r="K266" s="103">
        <v>0</v>
      </c>
      <c r="L266" s="103">
        <v>24</v>
      </c>
      <c r="M266" s="103" t="s">
        <v>635</v>
      </c>
      <c r="N266" s="103" t="s">
        <v>11</v>
      </c>
      <c r="O266" s="103" t="s">
        <v>818</v>
      </c>
    </row>
    <row r="267" spans="2:15" s="87" customFormat="1" ht="27.6" x14ac:dyDescent="0.3">
      <c r="B267" s="103" t="s">
        <v>631</v>
      </c>
      <c r="C267" s="103" t="s">
        <v>683</v>
      </c>
      <c r="D267" s="103" t="s">
        <v>817</v>
      </c>
      <c r="E267" s="103" t="s">
        <v>14</v>
      </c>
      <c r="F267" s="104">
        <v>45944</v>
      </c>
      <c r="G267" s="103" t="s">
        <v>684</v>
      </c>
      <c r="H267" s="103">
        <v>0</v>
      </c>
      <c r="I267" s="103">
        <v>9</v>
      </c>
      <c r="J267" s="103">
        <v>5</v>
      </c>
      <c r="K267" s="103">
        <v>0</v>
      </c>
      <c r="L267" s="103">
        <v>14</v>
      </c>
      <c r="M267" s="103" t="s">
        <v>685</v>
      </c>
      <c r="N267" s="103" t="s">
        <v>11</v>
      </c>
      <c r="O267" s="103"/>
    </row>
    <row r="268" spans="2:15" s="87" customFormat="1" ht="69" x14ac:dyDescent="0.3">
      <c r="B268" s="103" t="s">
        <v>631</v>
      </c>
      <c r="C268" s="103" t="s">
        <v>686</v>
      </c>
      <c r="D268" s="103" t="s">
        <v>817</v>
      </c>
      <c r="E268" s="103" t="s">
        <v>14</v>
      </c>
      <c r="F268" s="104">
        <v>45977</v>
      </c>
      <c r="G268" s="103" t="s">
        <v>687</v>
      </c>
      <c r="H268" s="103">
        <v>0</v>
      </c>
      <c r="I268" s="103">
        <v>16</v>
      </c>
      <c r="J268" s="103">
        <v>132</v>
      </c>
      <c r="K268" s="103">
        <v>0</v>
      </c>
      <c r="L268" s="103">
        <v>149</v>
      </c>
      <c r="M268" s="103" t="s">
        <v>676</v>
      </c>
      <c r="N268" s="103" t="s">
        <v>11</v>
      </c>
      <c r="O268" s="103" t="s">
        <v>688</v>
      </c>
    </row>
    <row r="269" spans="2:15" s="87" customFormat="1" ht="41.4" x14ac:dyDescent="0.3">
      <c r="B269" s="103" t="s">
        <v>631</v>
      </c>
      <c r="C269" s="103" t="s">
        <v>689</v>
      </c>
      <c r="D269" s="103" t="s">
        <v>817</v>
      </c>
      <c r="E269" s="103" t="s">
        <v>14</v>
      </c>
      <c r="F269" s="104">
        <v>45947</v>
      </c>
      <c r="G269" s="91" t="s">
        <v>619</v>
      </c>
      <c r="H269" s="103">
        <v>0</v>
      </c>
      <c r="I269" s="103">
        <v>2</v>
      </c>
      <c r="J269" s="103">
        <v>31</v>
      </c>
      <c r="K269" s="103">
        <v>0</v>
      </c>
      <c r="L269" s="103">
        <v>33</v>
      </c>
      <c r="M269" s="103" t="s">
        <v>303</v>
      </c>
      <c r="N269" s="103" t="s">
        <v>11</v>
      </c>
      <c r="O269" s="103" t="s">
        <v>689</v>
      </c>
    </row>
    <row r="270" spans="2:15" s="87" customFormat="1" ht="262.2" x14ac:dyDescent="0.3">
      <c r="B270" s="103" t="s">
        <v>691</v>
      </c>
      <c r="C270" s="103" t="s">
        <v>690</v>
      </c>
      <c r="D270" s="103" t="s">
        <v>23</v>
      </c>
      <c r="E270" s="103" t="s">
        <v>14</v>
      </c>
      <c r="F270" s="104">
        <v>45954</v>
      </c>
      <c r="G270" s="103" t="s">
        <v>692</v>
      </c>
      <c r="H270" s="103">
        <v>43</v>
      </c>
      <c r="I270" s="103">
        <v>0</v>
      </c>
      <c r="J270" s="103">
        <v>2</v>
      </c>
      <c r="K270" s="103">
        <v>0</v>
      </c>
      <c r="L270" s="103">
        <v>45</v>
      </c>
      <c r="M270" s="103" t="s">
        <v>693</v>
      </c>
      <c r="N270" s="103" t="s">
        <v>11</v>
      </c>
      <c r="O270" s="103" t="s">
        <v>694</v>
      </c>
    </row>
    <row r="271" spans="2:15" s="87" customFormat="1" ht="96.6" x14ac:dyDescent="0.3">
      <c r="B271" s="103" t="s">
        <v>631</v>
      </c>
      <c r="C271" s="103" t="s">
        <v>695</v>
      </c>
      <c r="D271" s="103" t="s">
        <v>817</v>
      </c>
      <c r="E271" s="103" t="s">
        <v>14</v>
      </c>
      <c r="F271" s="104">
        <v>45999</v>
      </c>
      <c r="G271" s="91" t="s">
        <v>619</v>
      </c>
      <c r="H271" s="103">
        <v>0</v>
      </c>
      <c r="I271" s="103">
        <v>38</v>
      </c>
      <c r="J271" s="103">
        <v>59</v>
      </c>
      <c r="K271" s="103">
        <v>0</v>
      </c>
      <c r="L271" s="103">
        <v>97</v>
      </c>
      <c r="M271" s="103" t="s">
        <v>696</v>
      </c>
      <c r="N271" s="103" t="s">
        <v>11</v>
      </c>
      <c r="O271" s="103" t="s">
        <v>697</v>
      </c>
    </row>
    <row r="272" spans="2:15" s="87" customFormat="1" ht="27.6" x14ac:dyDescent="0.3">
      <c r="B272" s="103" t="s">
        <v>631</v>
      </c>
      <c r="C272" s="103" t="s">
        <v>698</v>
      </c>
      <c r="D272" s="103" t="s">
        <v>817</v>
      </c>
      <c r="E272" s="103" t="s">
        <v>14</v>
      </c>
      <c r="F272" s="104">
        <v>45945</v>
      </c>
      <c r="G272" s="91" t="s">
        <v>619</v>
      </c>
      <c r="H272" s="103">
        <v>0</v>
      </c>
      <c r="I272" s="103">
        <v>5</v>
      </c>
      <c r="J272" s="103">
        <v>12</v>
      </c>
      <c r="K272" s="103">
        <v>0</v>
      </c>
      <c r="L272" s="103">
        <v>17</v>
      </c>
      <c r="M272" s="103" t="s">
        <v>635</v>
      </c>
      <c r="N272" s="103" t="s">
        <v>11</v>
      </c>
      <c r="O272" s="103" t="s">
        <v>699</v>
      </c>
    </row>
    <row r="273" spans="2:15" s="87" customFormat="1" ht="124.2" x14ac:dyDescent="0.3">
      <c r="B273" s="103" t="s">
        <v>38</v>
      </c>
      <c r="C273" s="103" t="s">
        <v>700</v>
      </c>
      <c r="D273" s="103" t="s">
        <v>701</v>
      </c>
      <c r="E273" s="103" t="s">
        <v>14</v>
      </c>
      <c r="F273" s="104">
        <v>45974</v>
      </c>
      <c r="G273" s="103" t="s">
        <v>702</v>
      </c>
      <c r="H273" s="103">
        <v>0</v>
      </c>
      <c r="I273" s="103">
        <v>5</v>
      </c>
      <c r="J273" s="103">
        <v>8</v>
      </c>
      <c r="K273" s="103">
        <v>0</v>
      </c>
      <c r="L273" s="103">
        <v>13</v>
      </c>
      <c r="M273" s="103" t="s">
        <v>703</v>
      </c>
      <c r="N273" s="103" t="s">
        <v>11</v>
      </c>
      <c r="O273" s="103" t="s">
        <v>711</v>
      </c>
    </row>
    <row r="274" spans="2:15" s="87" customFormat="1" ht="69" x14ac:dyDescent="0.3">
      <c r="B274" s="103" t="s">
        <v>631</v>
      </c>
      <c r="C274" s="103" t="s">
        <v>712</v>
      </c>
      <c r="D274" s="103" t="s">
        <v>817</v>
      </c>
      <c r="E274" s="103" t="s">
        <v>14</v>
      </c>
      <c r="F274" s="104">
        <v>46000</v>
      </c>
      <c r="G274" s="91" t="s">
        <v>619</v>
      </c>
      <c r="H274" s="103">
        <v>0</v>
      </c>
      <c r="I274" s="103">
        <v>0</v>
      </c>
      <c r="J274" s="103">
        <v>17</v>
      </c>
      <c r="K274" s="103">
        <v>0</v>
      </c>
      <c r="L274" s="103">
        <v>17</v>
      </c>
      <c r="M274" s="103" t="s">
        <v>713</v>
      </c>
      <c r="N274" s="103" t="s">
        <v>11</v>
      </c>
      <c r="O274" s="103" t="s">
        <v>714</v>
      </c>
    </row>
    <row r="275" spans="2:15" s="87" customFormat="1" ht="234.6" x14ac:dyDescent="0.3">
      <c r="B275" s="103" t="s">
        <v>48</v>
      </c>
      <c r="C275" s="103" t="s">
        <v>715</v>
      </c>
      <c r="D275" s="103" t="s">
        <v>719</v>
      </c>
      <c r="E275" s="103" t="s">
        <v>14</v>
      </c>
      <c r="F275" s="104">
        <v>45992</v>
      </c>
      <c r="G275" s="103" t="s">
        <v>716</v>
      </c>
      <c r="H275" s="103">
        <v>0</v>
      </c>
      <c r="I275" s="103">
        <v>4</v>
      </c>
      <c r="J275" s="103">
        <v>15</v>
      </c>
      <c r="K275" s="103">
        <v>0</v>
      </c>
      <c r="L275" s="103">
        <v>19</v>
      </c>
      <c r="M275" s="103" t="s">
        <v>717</v>
      </c>
      <c r="N275" s="103" t="s">
        <v>16</v>
      </c>
      <c r="O275" s="103" t="s">
        <v>718</v>
      </c>
    </row>
    <row r="276" spans="2:15" s="87" customFormat="1" ht="69" x14ac:dyDescent="0.3">
      <c r="B276" s="103" t="s">
        <v>631</v>
      </c>
      <c r="C276" s="103" t="s">
        <v>720</v>
      </c>
      <c r="D276" s="103" t="s">
        <v>817</v>
      </c>
      <c r="E276" s="103" t="s">
        <v>14</v>
      </c>
      <c r="F276" s="104">
        <v>45993</v>
      </c>
      <c r="G276" s="91" t="s">
        <v>704</v>
      </c>
      <c r="H276" s="103">
        <v>0</v>
      </c>
      <c r="I276" s="103">
        <v>0</v>
      </c>
      <c r="J276" s="103">
        <v>22</v>
      </c>
      <c r="K276" s="103">
        <v>0</v>
      </c>
      <c r="L276" s="103">
        <v>22</v>
      </c>
      <c r="M276" s="103" t="s">
        <v>713</v>
      </c>
      <c r="N276" s="103" t="s">
        <v>11</v>
      </c>
      <c r="O276" s="103" t="s">
        <v>721</v>
      </c>
    </row>
    <row r="277" spans="2:15" s="87" customFormat="1" ht="41.4" x14ac:dyDescent="0.3">
      <c r="B277" s="103" t="s">
        <v>631</v>
      </c>
      <c r="C277" s="103" t="s">
        <v>722</v>
      </c>
      <c r="D277" s="103" t="s">
        <v>817</v>
      </c>
      <c r="E277" s="103" t="s">
        <v>14</v>
      </c>
      <c r="F277" s="104">
        <v>45940</v>
      </c>
      <c r="G277" s="91" t="s">
        <v>705</v>
      </c>
      <c r="H277" s="103">
        <v>0</v>
      </c>
      <c r="I277" s="103">
        <v>10</v>
      </c>
      <c r="J277" s="103">
        <v>45</v>
      </c>
      <c r="K277" s="103">
        <v>0</v>
      </c>
      <c r="L277" s="103">
        <v>55</v>
      </c>
      <c r="M277" s="103" t="s">
        <v>303</v>
      </c>
      <c r="N277" s="103" t="s">
        <v>11</v>
      </c>
      <c r="O277" s="103" t="s">
        <v>723</v>
      </c>
    </row>
    <row r="278" spans="2:15" s="87" customFormat="1" ht="27.6" x14ac:dyDescent="0.3">
      <c r="B278" s="103" t="s">
        <v>48</v>
      </c>
      <c r="C278" s="103" t="s">
        <v>724</v>
      </c>
      <c r="D278" s="103" t="s">
        <v>817</v>
      </c>
      <c r="E278" s="103" t="s">
        <v>14</v>
      </c>
      <c r="F278" s="104">
        <v>45978</v>
      </c>
      <c r="G278" s="91" t="s">
        <v>706</v>
      </c>
      <c r="H278" s="103">
        <v>2</v>
      </c>
      <c r="I278" s="103">
        <v>14</v>
      </c>
      <c r="J278" s="103">
        <v>40</v>
      </c>
      <c r="K278" s="103">
        <v>0</v>
      </c>
      <c r="L278" s="103">
        <v>56</v>
      </c>
      <c r="M278" s="103" t="s">
        <v>725</v>
      </c>
      <c r="N278" s="103" t="s">
        <v>11</v>
      </c>
      <c r="O278" s="103" t="s">
        <v>726</v>
      </c>
    </row>
    <row r="279" spans="2:15" s="87" customFormat="1" ht="69" x14ac:dyDescent="0.3">
      <c r="B279" s="103" t="s">
        <v>631</v>
      </c>
      <c r="C279" s="103" t="s">
        <v>727</v>
      </c>
      <c r="D279" s="103" t="s">
        <v>817</v>
      </c>
      <c r="E279" s="103" t="s">
        <v>14</v>
      </c>
      <c r="F279" s="104">
        <v>45988</v>
      </c>
      <c r="G279" s="91" t="s">
        <v>707</v>
      </c>
      <c r="H279" s="103">
        <v>0</v>
      </c>
      <c r="I279" s="103">
        <v>0</v>
      </c>
      <c r="J279" s="103">
        <v>22</v>
      </c>
      <c r="K279" s="103">
        <v>0</v>
      </c>
      <c r="L279" s="103">
        <v>22</v>
      </c>
      <c r="M279" s="103" t="s">
        <v>713</v>
      </c>
      <c r="N279" s="103" t="s">
        <v>11</v>
      </c>
      <c r="O279" s="103" t="s">
        <v>728</v>
      </c>
    </row>
    <row r="280" spans="2:15" s="87" customFormat="1" ht="55.2" x14ac:dyDescent="0.3">
      <c r="B280" s="103" t="s">
        <v>631</v>
      </c>
      <c r="C280" s="103" t="s">
        <v>729</v>
      </c>
      <c r="D280" s="103" t="s">
        <v>817</v>
      </c>
      <c r="E280" s="103" t="s">
        <v>14</v>
      </c>
      <c r="F280" s="104">
        <v>45959</v>
      </c>
      <c r="G280" s="91" t="s">
        <v>708</v>
      </c>
      <c r="H280" s="103">
        <v>0</v>
      </c>
      <c r="I280" s="103">
        <v>0</v>
      </c>
      <c r="J280" s="103">
        <v>21</v>
      </c>
      <c r="K280" s="103">
        <v>0</v>
      </c>
      <c r="L280" s="103">
        <v>21</v>
      </c>
      <c r="M280" s="103" t="s">
        <v>713</v>
      </c>
      <c r="N280" s="103" t="s">
        <v>11</v>
      </c>
      <c r="O280" s="103" t="s">
        <v>730</v>
      </c>
    </row>
    <row r="281" spans="2:15" s="87" customFormat="1" ht="41.4" x14ac:dyDescent="0.3">
      <c r="B281" s="103" t="s">
        <v>38</v>
      </c>
      <c r="C281" s="103" t="s">
        <v>731</v>
      </c>
      <c r="D281" s="103" t="s">
        <v>817</v>
      </c>
      <c r="E281" s="103" t="s">
        <v>14</v>
      </c>
      <c r="F281" s="104">
        <v>45947</v>
      </c>
      <c r="G281" s="91" t="s">
        <v>709</v>
      </c>
      <c r="H281" s="103">
        <v>0</v>
      </c>
      <c r="I281" s="103">
        <v>23</v>
      </c>
      <c r="J281" s="103">
        <v>356</v>
      </c>
      <c r="K281" s="103">
        <v>0</v>
      </c>
      <c r="L281" s="103">
        <v>379</v>
      </c>
      <c r="M281" s="103" t="s">
        <v>732</v>
      </c>
      <c r="N281" s="103" t="s">
        <v>16</v>
      </c>
      <c r="O281" s="103" t="s">
        <v>733</v>
      </c>
    </row>
    <row r="282" spans="2:15" s="87" customFormat="1" ht="110.4" x14ac:dyDescent="0.3">
      <c r="B282" s="103" t="s">
        <v>631</v>
      </c>
      <c r="C282" s="103" t="s">
        <v>734</v>
      </c>
      <c r="D282" s="103" t="s">
        <v>817</v>
      </c>
      <c r="E282" s="103" t="s">
        <v>14</v>
      </c>
      <c r="F282" s="104">
        <v>45950</v>
      </c>
      <c r="G282" s="91" t="s">
        <v>710</v>
      </c>
      <c r="H282" s="103">
        <v>0</v>
      </c>
      <c r="I282" s="103">
        <v>0</v>
      </c>
      <c r="J282" s="103">
        <v>12</v>
      </c>
      <c r="K282" s="103">
        <v>0</v>
      </c>
      <c r="L282" s="103">
        <v>12</v>
      </c>
      <c r="M282" s="103" t="s">
        <v>713</v>
      </c>
      <c r="N282" s="103" t="s">
        <v>11</v>
      </c>
      <c r="O282" s="103" t="s">
        <v>735</v>
      </c>
    </row>
    <row r="283" spans="2:15" s="87" customFormat="1" ht="124.2" x14ac:dyDescent="0.3">
      <c r="B283" s="103" t="s">
        <v>631</v>
      </c>
      <c r="C283" s="103" t="s">
        <v>748</v>
      </c>
      <c r="D283" s="103" t="s">
        <v>817</v>
      </c>
      <c r="E283" s="103" t="s">
        <v>14</v>
      </c>
      <c r="F283" s="104">
        <v>45667</v>
      </c>
      <c r="G283" s="91" t="s">
        <v>736</v>
      </c>
      <c r="H283" s="103">
        <v>0</v>
      </c>
      <c r="I283" s="103">
        <v>0</v>
      </c>
      <c r="J283" s="103">
        <v>12</v>
      </c>
      <c r="K283" s="103">
        <v>0</v>
      </c>
      <c r="L283" s="103">
        <v>12</v>
      </c>
      <c r="M283" s="103" t="s">
        <v>713</v>
      </c>
      <c r="N283" s="103" t="s">
        <v>11</v>
      </c>
      <c r="O283" s="103" t="s">
        <v>749</v>
      </c>
    </row>
    <row r="284" spans="2:15" s="87" customFormat="1" ht="124.2" x14ac:dyDescent="0.3">
      <c r="B284" s="103" t="s">
        <v>631</v>
      </c>
      <c r="C284" s="103" t="s">
        <v>750</v>
      </c>
      <c r="D284" s="103" t="s">
        <v>817</v>
      </c>
      <c r="E284" s="103" t="s">
        <v>14</v>
      </c>
      <c r="F284" s="104">
        <v>45933</v>
      </c>
      <c r="G284" s="91" t="s">
        <v>737</v>
      </c>
      <c r="H284" s="103">
        <v>10</v>
      </c>
      <c r="I284" s="103">
        <v>120</v>
      </c>
      <c r="J284" s="103">
        <v>470</v>
      </c>
      <c r="K284" s="103">
        <v>33</v>
      </c>
      <c r="L284" s="103">
        <v>633</v>
      </c>
      <c r="M284" s="103" t="s">
        <v>751</v>
      </c>
      <c r="N284" s="103" t="s">
        <v>11</v>
      </c>
      <c r="O284" s="103" t="s">
        <v>752</v>
      </c>
    </row>
    <row r="285" spans="2:15" s="87" customFormat="1" ht="82.8" x14ac:dyDescent="0.3">
      <c r="B285" s="103" t="s">
        <v>631</v>
      </c>
      <c r="C285" s="103" t="s">
        <v>753</v>
      </c>
      <c r="D285" s="103" t="s">
        <v>817</v>
      </c>
      <c r="E285" s="103" t="s">
        <v>14</v>
      </c>
      <c r="F285" s="104">
        <v>46007</v>
      </c>
      <c r="G285" s="91" t="s">
        <v>738</v>
      </c>
      <c r="H285" s="103">
        <v>0</v>
      </c>
      <c r="I285" s="103">
        <v>9</v>
      </c>
      <c r="J285" s="103">
        <v>28</v>
      </c>
      <c r="K285" s="103">
        <v>0</v>
      </c>
      <c r="L285" s="103">
        <v>37</v>
      </c>
      <c r="M285" s="103" t="s">
        <v>754</v>
      </c>
      <c r="N285" s="103" t="s">
        <v>11</v>
      </c>
      <c r="O285" s="103" t="s">
        <v>755</v>
      </c>
    </row>
    <row r="286" spans="2:15" s="87" customFormat="1" ht="138" x14ac:dyDescent="0.3">
      <c r="B286" s="103" t="s">
        <v>631</v>
      </c>
      <c r="C286" s="103" t="s">
        <v>630</v>
      </c>
      <c r="D286" s="103" t="s">
        <v>817</v>
      </c>
      <c r="E286" s="103" t="s">
        <v>14</v>
      </c>
      <c r="F286" s="104">
        <v>45931</v>
      </c>
      <c r="G286" s="91" t="s">
        <v>739</v>
      </c>
      <c r="H286" s="103">
        <v>0</v>
      </c>
      <c r="I286" s="103">
        <v>3</v>
      </c>
      <c r="J286" s="103">
        <v>26</v>
      </c>
      <c r="K286" s="103">
        <v>10</v>
      </c>
      <c r="L286" s="103">
        <v>39</v>
      </c>
      <c r="M286" s="103" t="s">
        <v>632</v>
      </c>
      <c r="N286" s="103" t="s">
        <v>11</v>
      </c>
      <c r="O286" s="103" t="s">
        <v>633</v>
      </c>
    </row>
    <row r="287" spans="2:15" s="87" customFormat="1" ht="27.6" x14ac:dyDescent="0.3">
      <c r="B287" s="103" t="s">
        <v>631</v>
      </c>
      <c r="C287" s="103" t="s">
        <v>756</v>
      </c>
      <c r="D287" s="103" t="s">
        <v>817</v>
      </c>
      <c r="E287" s="103" t="s">
        <v>15</v>
      </c>
      <c r="F287" s="104">
        <v>45985</v>
      </c>
      <c r="G287" s="103" t="s">
        <v>757</v>
      </c>
      <c r="H287" s="103">
        <v>0</v>
      </c>
      <c r="I287" s="103">
        <v>3</v>
      </c>
      <c r="J287" s="103">
        <v>14</v>
      </c>
      <c r="K287" s="103">
        <v>0</v>
      </c>
      <c r="L287" s="103">
        <v>17</v>
      </c>
      <c r="M287" s="103" t="s">
        <v>758</v>
      </c>
      <c r="N287" s="103" t="s">
        <v>11</v>
      </c>
      <c r="O287" s="103" t="s">
        <v>760</v>
      </c>
    </row>
    <row r="288" spans="2:15" s="87" customFormat="1" ht="27.6" x14ac:dyDescent="0.3">
      <c r="B288" s="103" t="s">
        <v>631</v>
      </c>
      <c r="C288" s="103" t="s">
        <v>759</v>
      </c>
      <c r="D288" s="103" t="s">
        <v>817</v>
      </c>
      <c r="E288" s="103" t="s">
        <v>14</v>
      </c>
      <c r="F288" s="104">
        <v>45981</v>
      </c>
      <c r="G288" s="91" t="s">
        <v>740</v>
      </c>
      <c r="H288" s="103">
        <v>0</v>
      </c>
      <c r="I288" s="103">
        <v>8</v>
      </c>
      <c r="J288" s="103">
        <v>56</v>
      </c>
      <c r="K288" s="103">
        <v>0</v>
      </c>
      <c r="L288" s="103">
        <v>64</v>
      </c>
      <c r="M288" s="103" t="s">
        <v>758</v>
      </c>
      <c r="N288" s="103" t="s">
        <v>11</v>
      </c>
      <c r="O288" s="103" t="s">
        <v>760</v>
      </c>
    </row>
    <row r="289" spans="2:15" s="87" customFormat="1" ht="27.6" x14ac:dyDescent="0.3">
      <c r="B289" s="103" t="s">
        <v>631</v>
      </c>
      <c r="C289" s="103" t="s">
        <v>761</v>
      </c>
      <c r="D289" s="103" t="s">
        <v>817</v>
      </c>
      <c r="E289" s="103" t="s">
        <v>14</v>
      </c>
      <c r="F289" s="104">
        <v>45961</v>
      </c>
      <c r="G289" s="91" t="s">
        <v>741</v>
      </c>
      <c r="H289" s="103">
        <v>0</v>
      </c>
      <c r="I289" s="103">
        <v>6</v>
      </c>
      <c r="J289" s="103">
        <v>33</v>
      </c>
      <c r="K289" s="103">
        <v>0</v>
      </c>
      <c r="L289" s="103">
        <v>39</v>
      </c>
      <c r="M289" s="103" t="s">
        <v>758</v>
      </c>
      <c r="N289" s="103" t="s">
        <v>11</v>
      </c>
      <c r="O289" s="103" t="s">
        <v>762</v>
      </c>
    </row>
    <row r="290" spans="2:15" s="87" customFormat="1" ht="27.6" x14ac:dyDescent="0.3">
      <c r="B290" s="103" t="s">
        <v>764</v>
      </c>
      <c r="C290" s="103" t="s">
        <v>763</v>
      </c>
      <c r="D290" s="103" t="s">
        <v>767</v>
      </c>
      <c r="E290" s="103" t="s">
        <v>14</v>
      </c>
      <c r="F290" s="104">
        <v>46010</v>
      </c>
      <c r="G290" s="103" t="s">
        <v>769</v>
      </c>
      <c r="H290" s="103">
        <v>0</v>
      </c>
      <c r="I290" s="103">
        <v>1</v>
      </c>
      <c r="J290" s="103">
        <v>16</v>
      </c>
      <c r="K290" s="103">
        <v>0</v>
      </c>
      <c r="L290" s="103">
        <v>17</v>
      </c>
      <c r="M290" s="103" t="s">
        <v>765</v>
      </c>
      <c r="N290" s="103" t="s">
        <v>11</v>
      </c>
      <c r="O290" s="103" t="s">
        <v>765</v>
      </c>
    </row>
    <row r="291" spans="2:15" s="87" customFormat="1" ht="27.6" x14ac:dyDescent="0.3">
      <c r="B291" s="103" t="s">
        <v>764</v>
      </c>
      <c r="C291" s="103" t="s">
        <v>766</v>
      </c>
      <c r="D291" s="103" t="s">
        <v>771</v>
      </c>
      <c r="E291" s="103" t="s">
        <v>14</v>
      </c>
      <c r="F291" s="104">
        <v>45991</v>
      </c>
      <c r="G291" s="103" t="s">
        <v>768</v>
      </c>
      <c r="H291" s="103">
        <v>0</v>
      </c>
      <c r="I291" s="103">
        <v>1</v>
      </c>
      <c r="J291" s="103">
        <v>16</v>
      </c>
      <c r="K291" s="103">
        <v>0</v>
      </c>
      <c r="L291" s="103">
        <v>17</v>
      </c>
      <c r="M291" s="103" t="s">
        <v>765</v>
      </c>
      <c r="N291" s="103" t="s">
        <v>11</v>
      </c>
      <c r="O291" s="103" t="s">
        <v>765</v>
      </c>
    </row>
    <row r="292" spans="2:15" s="87" customFormat="1" ht="27.6" x14ac:dyDescent="0.3">
      <c r="B292" s="103" t="s">
        <v>764</v>
      </c>
      <c r="C292" s="103" t="s">
        <v>763</v>
      </c>
      <c r="D292" s="103" t="s">
        <v>767</v>
      </c>
      <c r="E292" s="103" t="s">
        <v>14</v>
      </c>
      <c r="F292" s="104">
        <v>45990</v>
      </c>
      <c r="G292" s="103" t="s">
        <v>769</v>
      </c>
      <c r="H292" s="103">
        <v>0</v>
      </c>
      <c r="I292" s="103">
        <v>7</v>
      </c>
      <c r="J292" s="103">
        <v>12</v>
      </c>
      <c r="K292" s="103">
        <v>0</v>
      </c>
      <c r="L292" s="103">
        <v>19</v>
      </c>
      <c r="M292" s="103" t="s">
        <v>765</v>
      </c>
      <c r="N292" s="103" t="s">
        <v>11</v>
      </c>
      <c r="O292" s="103" t="s">
        <v>765</v>
      </c>
    </row>
    <row r="293" spans="2:15" s="87" customFormat="1" ht="27.6" x14ac:dyDescent="0.3">
      <c r="B293" s="103" t="s">
        <v>764</v>
      </c>
      <c r="C293" s="103" t="s">
        <v>770</v>
      </c>
      <c r="D293" s="103" t="s">
        <v>771</v>
      </c>
      <c r="E293" s="103" t="s">
        <v>14</v>
      </c>
      <c r="F293" s="104">
        <v>45984</v>
      </c>
      <c r="G293" s="103" t="s">
        <v>772</v>
      </c>
      <c r="H293" s="103">
        <v>7</v>
      </c>
      <c r="I293" s="103">
        <v>6</v>
      </c>
      <c r="J293" s="103">
        <v>16</v>
      </c>
      <c r="K293" s="103">
        <v>0</v>
      </c>
      <c r="L293" s="103">
        <v>29</v>
      </c>
      <c r="M293" s="103" t="s">
        <v>765</v>
      </c>
      <c r="N293" s="103" t="s">
        <v>11</v>
      </c>
      <c r="O293" s="103" t="s">
        <v>773</v>
      </c>
    </row>
    <row r="294" spans="2:15" s="87" customFormat="1" ht="27.6" x14ac:dyDescent="0.3">
      <c r="B294" s="103" t="s">
        <v>764</v>
      </c>
      <c r="C294" s="103" t="s">
        <v>763</v>
      </c>
      <c r="D294" s="103" t="s">
        <v>767</v>
      </c>
      <c r="E294" s="103" t="s">
        <v>14</v>
      </c>
      <c r="F294" s="104">
        <v>45970</v>
      </c>
      <c r="G294" s="103" t="s">
        <v>769</v>
      </c>
      <c r="H294" s="103">
        <v>0</v>
      </c>
      <c r="I294" s="103">
        <v>6</v>
      </c>
      <c r="J294" s="103">
        <v>16</v>
      </c>
      <c r="K294" s="103">
        <v>0</v>
      </c>
      <c r="L294" s="103">
        <v>21</v>
      </c>
      <c r="M294" s="103" t="s">
        <v>765</v>
      </c>
      <c r="N294" s="103" t="s">
        <v>11</v>
      </c>
      <c r="O294" s="103" t="s">
        <v>774</v>
      </c>
    </row>
    <row r="295" spans="2:15" s="87" customFormat="1" ht="41.4" x14ac:dyDescent="0.3">
      <c r="B295" s="103" t="s">
        <v>764</v>
      </c>
      <c r="C295" s="103" t="s">
        <v>775</v>
      </c>
      <c r="D295" s="103" t="s">
        <v>767</v>
      </c>
      <c r="E295" s="103" t="s">
        <v>14</v>
      </c>
      <c r="F295" s="104">
        <v>45964</v>
      </c>
      <c r="G295" s="103" t="s">
        <v>776</v>
      </c>
      <c r="H295" s="103">
        <v>0</v>
      </c>
      <c r="I295" s="103">
        <v>2</v>
      </c>
      <c r="J295" s="103">
        <v>15</v>
      </c>
      <c r="K295" s="103">
        <v>0</v>
      </c>
      <c r="L295" s="103">
        <v>17</v>
      </c>
      <c r="M295" s="103" t="s">
        <v>765</v>
      </c>
      <c r="N295" s="103" t="s">
        <v>11</v>
      </c>
      <c r="O295" s="103" t="s">
        <v>777</v>
      </c>
    </row>
    <row r="296" spans="2:15" s="87" customFormat="1" ht="41.4" x14ac:dyDescent="0.3">
      <c r="B296" s="103" t="s">
        <v>764</v>
      </c>
      <c r="C296" s="103" t="s">
        <v>778</v>
      </c>
      <c r="D296" s="103" t="s">
        <v>771</v>
      </c>
      <c r="E296" s="103" t="s">
        <v>14</v>
      </c>
      <c r="F296" s="104">
        <v>45956</v>
      </c>
      <c r="G296" s="103" t="s">
        <v>779</v>
      </c>
      <c r="H296" s="103">
        <v>0</v>
      </c>
      <c r="I296" s="103">
        <v>2</v>
      </c>
      <c r="J296" s="103">
        <v>11</v>
      </c>
      <c r="K296" s="103">
        <v>0</v>
      </c>
      <c r="L296" s="103">
        <v>13</v>
      </c>
      <c r="M296" s="103" t="s">
        <v>765</v>
      </c>
      <c r="N296" s="103" t="s">
        <v>11</v>
      </c>
      <c r="O296" s="103" t="s">
        <v>780</v>
      </c>
    </row>
    <row r="297" spans="2:15" s="87" customFormat="1" ht="55.2" x14ac:dyDescent="0.3">
      <c r="B297" s="103" t="s">
        <v>764</v>
      </c>
      <c r="C297" s="103" t="s">
        <v>781</v>
      </c>
      <c r="D297" s="103" t="s">
        <v>771</v>
      </c>
      <c r="E297" s="103" t="s">
        <v>14</v>
      </c>
      <c r="F297" s="104">
        <v>46012</v>
      </c>
      <c r="G297" s="103" t="s">
        <v>782</v>
      </c>
      <c r="H297" s="103">
        <v>6</v>
      </c>
      <c r="I297" s="103">
        <v>0</v>
      </c>
      <c r="J297" s="103">
        <v>11</v>
      </c>
      <c r="K297" s="103">
        <v>0</v>
      </c>
      <c r="L297" s="103">
        <v>17</v>
      </c>
      <c r="M297" s="103" t="s">
        <v>765</v>
      </c>
      <c r="N297" s="103" t="s">
        <v>11</v>
      </c>
      <c r="O297" s="103" t="s">
        <v>783</v>
      </c>
    </row>
    <row r="298" spans="2:15" s="87" customFormat="1" ht="41.4" x14ac:dyDescent="0.3">
      <c r="B298" s="103" t="s">
        <v>764</v>
      </c>
      <c r="C298" s="103" t="s">
        <v>784</v>
      </c>
      <c r="D298" s="103" t="s">
        <v>767</v>
      </c>
      <c r="E298" s="103" t="s">
        <v>14</v>
      </c>
      <c r="F298" s="104">
        <v>45942</v>
      </c>
      <c r="G298" s="103" t="s">
        <v>785</v>
      </c>
      <c r="H298" s="103">
        <v>10</v>
      </c>
      <c r="I298" s="103">
        <v>6</v>
      </c>
      <c r="J298" s="103">
        <v>25</v>
      </c>
      <c r="K298" s="103">
        <v>0</v>
      </c>
      <c r="L298" s="103">
        <v>31</v>
      </c>
      <c r="M298" s="103" t="s">
        <v>765</v>
      </c>
      <c r="N298" s="103" t="s">
        <v>16</v>
      </c>
      <c r="O298" s="103" t="s">
        <v>786</v>
      </c>
    </row>
    <row r="299" spans="2:15" s="87" customFormat="1" ht="82.8" x14ac:dyDescent="0.3">
      <c r="B299" s="103" t="s">
        <v>631</v>
      </c>
      <c r="C299" s="103" t="s">
        <v>787</v>
      </c>
      <c r="D299" s="103" t="s">
        <v>817</v>
      </c>
      <c r="E299" s="103" t="s">
        <v>14</v>
      </c>
      <c r="F299" s="104">
        <v>45931</v>
      </c>
      <c r="G299" s="91" t="s">
        <v>741</v>
      </c>
      <c r="H299" s="103">
        <v>0</v>
      </c>
      <c r="I299" s="103">
        <v>19</v>
      </c>
      <c r="J299" s="103">
        <v>23</v>
      </c>
      <c r="K299" s="103">
        <v>0</v>
      </c>
      <c r="L299" s="103">
        <v>42</v>
      </c>
      <c r="M299" s="103" t="s">
        <v>788</v>
      </c>
      <c r="N299" s="103" t="s">
        <v>11</v>
      </c>
      <c r="O299" s="103" t="s">
        <v>789</v>
      </c>
    </row>
    <row r="300" spans="2:15" s="87" customFormat="1" ht="55.2" x14ac:dyDescent="0.3">
      <c r="B300" s="103" t="s">
        <v>631</v>
      </c>
      <c r="C300" s="103" t="s">
        <v>790</v>
      </c>
      <c r="D300" s="103" t="s">
        <v>817</v>
      </c>
      <c r="E300" s="103" t="s">
        <v>14</v>
      </c>
      <c r="F300" s="104">
        <v>46016</v>
      </c>
      <c r="G300" s="91" t="s">
        <v>742</v>
      </c>
      <c r="H300" s="103">
        <v>0</v>
      </c>
      <c r="I300" s="103">
        <v>6</v>
      </c>
      <c r="J300" s="103">
        <v>21</v>
      </c>
      <c r="K300" s="103">
        <v>2</v>
      </c>
      <c r="L300" s="103">
        <v>29</v>
      </c>
      <c r="M300" s="103" t="s">
        <v>635</v>
      </c>
      <c r="N300" s="103" t="s">
        <v>11</v>
      </c>
      <c r="O300" s="103" t="s">
        <v>791</v>
      </c>
    </row>
    <row r="301" spans="2:15" s="87" customFormat="1" ht="41.4" x14ac:dyDescent="0.3">
      <c r="B301" s="103" t="s">
        <v>631</v>
      </c>
      <c r="C301" s="103" t="s">
        <v>792</v>
      </c>
      <c r="D301" s="103" t="s">
        <v>817</v>
      </c>
      <c r="E301" s="103" t="s">
        <v>14</v>
      </c>
      <c r="F301" s="104">
        <v>45954</v>
      </c>
      <c r="G301" s="91" t="s">
        <v>743</v>
      </c>
      <c r="H301" s="103">
        <v>0</v>
      </c>
      <c r="I301" s="103">
        <v>6</v>
      </c>
      <c r="J301" s="103">
        <v>24</v>
      </c>
      <c r="K301" s="103">
        <v>0</v>
      </c>
      <c r="L301" s="103">
        <v>30</v>
      </c>
      <c r="M301" s="103" t="s">
        <v>635</v>
      </c>
      <c r="N301" s="103" t="s">
        <v>11</v>
      </c>
      <c r="O301" s="103" t="s">
        <v>793</v>
      </c>
    </row>
    <row r="302" spans="2:15" s="87" customFormat="1" ht="41.4" x14ac:dyDescent="0.3">
      <c r="B302" s="103" t="s">
        <v>631</v>
      </c>
      <c r="C302" s="103" t="s">
        <v>794</v>
      </c>
      <c r="D302" s="103" t="s">
        <v>817</v>
      </c>
      <c r="E302" s="103" t="s">
        <v>14</v>
      </c>
      <c r="F302" s="104">
        <v>46013</v>
      </c>
      <c r="G302" s="91" t="s">
        <v>744</v>
      </c>
      <c r="H302" s="103">
        <v>0</v>
      </c>
      <c r="I302" s="103">
        <v>3</v>
      </c>
      <c r="J302" s="103">
        <v>11</v>
      </c>
      <c r="K302" s="103">
        <v>0</v>
      </c>
      <c r="L302" s="103">
        <v>14</v>
      </c>
      <c r="M302" s="103" t="s">
        <v>635</v>
      </c>
      <c r="N302" s="103" t="s">
        <v>11</v>
      </c>
      <c r="O302" s="103" t="s">
        <v>795</v>
      </c>
    </row>
    <row r="303" spans="2:15" s="87" customFormat="1" ht="41.4" x14ac:dyDescent="0.3">
      <c r="B303" s="103" t="s">
        <v>631</v>
      </c>
      <c r="C303" s="103" t="s">
        <v>796</v>
      </c>
      <c r="D303" s="103" t="s">
        <v>817</v>
      </c>
      <c r="E303" s="103" t="s">
        <v>14</v>
      </c>
      <c r="F303" s="104">
        <v>46010</v>
      </c>
      <c r="G303" s="91" t="s">
        <v>745</v>
      </c>
      <c r="H303" s="103">
        <v>0</v>
      </c>
      <c r="I303" s="103">
        <v>6</v>
      </c>
      <c r="J303" s="103">
        <v>21</v>
      </c>
      <c r="K303" s="103">
        <v>2</v>
      </c>
      <c r="L303" s="103">
        <v>29</v>
      </c>
      <c r="M303" s="103" t="s">
        <v>635</v>
      </c>
      <c r="N303" s="103" t="s">
        <v>11</v>
      </c>
      <c r="O303" s="103" t="s">
        <v>797</v>
      </c>
    </row>
    <row r="304" spans="2:15" s="87" customFormat="1" ht="55.2" x14ac:dyDescent="0.3">
      <c r="B304" s="103" t="s">
        <v>631</v>
      </c>
      <c r="C304" s="103" t="s">
        <v>798</v>
      </c>
      <c r="D304" s="103" t="s">
        <v>817</v>
      </c>
      <c r="E304" s="103" t="s">
        <v>14</v>
      </c>
      <c r="F304" s="104">
        <v>46006</v>
      </c>
      <c r="G304" s="91" t="s">
        <v>746</v>
      </c>
      <c r="H304" s="103">
        <v>0</v>
      </c>
      <c r="I304" s="103">
        <v>5</v>
      </c>
      <c r="J304" s="103">
        <v>13</v>
      </c>
      <c r="K304" s="103">
        <v>2</v>
      </c>
      <c r="L304" s="103">
        <v>20</v>
      </c>
      <c r="M304" s="103" t="s">
        <v>635</v>
      </c>
      <c r="N304" s="103" t="s">
        <v>11</v>
      </c>
      <c r="O304" s="103" t="s">
        <v>799</v>
      </c>
    </row>
    <row r="305" spans="2:15" s="87" customFormat="1" ht="41.4" x14ac:dyDescent="0.3">
      <c r="B305" s="103" t="s">
        <v>631</v>
      </c>
      <c r="C305" s="103" t="s">
        <v>794</v>
      </c>
      <c r="D305" s="103" t="s">
        <v>817</v>
      </c>
      <c r="E305" s="103" t="s">
        <v>14</v>
      </c>
      <c r="F305" s="104">
        <v>46007</v>
      </c>
      <c r="G305" s="91" t="s">
        <v>747</v>
      </c>
      <c r="H305" s="103">
        <v>0</v>
      </c>
      <c r="I305" s="103">
        <v>5</v>
      </c>
      <c r="J305" s="103">
        <v>26</v>
      </c>
      <c r="K305" s="103">
        <v>0</v>
      </c>
      <c r="L305" s="103">
        <v>31</v>
      </c>
      <c r="M305" s="103" t="s">
        <v>635</v>
      </c>
      <c r="N305" s="103" t="s">
        <v>11</v>
      </c>
      <c r="O305" s="103" t="s">
        <v>800</v>
      </c>
    </row>
  </sheetData>
  <autoFilter ref="A1:O305"/>
  <phoneticPr fontId="74" type="noConversion"/>
  <pageMargins left="0.7" right="0.7" top="0.75" bottom="0.75" header="0.3" footer="0.3"/>
  <pageSetup paperSize="9" scale="3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8"/>
  <sheetViews>
    <sheetView workbookViewId="0">
      <selection activeCell="L1" sqref="L1"/>
    </sheetView>
  </sheetViews>
  <sheetFormatPr defaultRowHeight="14.4" x14ac:dyDescent="0.3"/>
  <sheetData>
    <row r="1" spans="2:12" ht="132" x14ac:dyDescent="0.3">
      <c r="B1" s="76" t="s">
        <v>6</v>
      </c>
      <c r="C1" s="76" t="s">
        <v>64</v>
      </c>
      <c r="D1" s="76" t="s">
        <v>13</v>
      </c>
      <c r="E1" s="76" t="s">
        <v>2</v>
      </c>
      <c r="F1" s="76">
        <v>45684</v>
      </c>
      <c r="G1" s="78" t="s">
        <v>3</v>
      </c>
      <c r="H1" s="77">
        <v>30</v>
      </c>
      <c r="I1" s="77">
        <v>30</v>
      </c>
      <c r="J1" s="77">
        <v>50</v>
      </c>
      <c r="K1" s="77">
        <v>15</v>
      </c>
      <c r="L1" s="77">
        <v>125</v>
      </c>
    </row>
    <row r="2" spans="2:12" ht="96" x14ac:dyDescent="0.3">
      <c r="B2" s="76" t="s">
        <v>6</v>
      </c>
      <c r="C2" s="76" t="s">
        <v>99</v>
      </c>
      <c r="D2" s="76" t="s">
        <v>10</v>
      </c>
      <c r="E2" s="76" t="s">
        <v>14</v>
      </c>
      <c r="F2" s="76">
        <v>45688</v>
      </c>
      <c r="G2" s="78" t="s">
        <v>42</v>
      </c>
      <c r="H2" s="77">
        <v>5</v>
      </c>
      <c r="I2" s="77">
        <v>0</v>
      </c>
      <c r="J2" s="77">
        <v>0</v>
      </c>
      <c r="K2" s="77">
        <v>180</v>
      </c>
      <c r="L2" s="77">
        <v>180</v>
      </c>
    </row>
    <row r="3" spans="2:12" ht="84" x14ac:dyDescent="0.3">
      <c r="B3" s="76" t="s">
        <v>6</v>
      </c>
      <c r="C3" s="76" t="s">
        <v>102</v>
      </c>
      <c r="D3" s="76" t="s">
        <v>10</v>
      </c>
      <c r="E3" s="76" t="s">
        <v>14</v>
      </c>
      <c r="F3" s="76">
        <v>45696</v>
      </c>
      <c r="G3" s="78" t="s">
        <v>3</v>
      </c>
      <c r="H3" s="77">
        <v>21</v>
      </c>
      <c r="I3" s="77">
        <v>0</v>
      </c>
      <c r="J3" s="77">
        <v>0</v>
      </c>
      <c r="K3" s="77">
        <v>0</v>
      </c>
      <c r="L3" s="77">
        <v>21</v>
      </c>
    </row>
    <row r="4" spans="2:12" ht="144" x14ac:dyDescent="0.3">
      <c r="B4" s="76" t="s">
        <v>6</v>
      </c>
      <c r="C4" s="18" t="s">
        <v>100</v>
      </c>
      <c r="D4" s="76" t="s">
        <v>10</v>
      </c>
      <c r="E4" s="76" t="s">
        <v>2</v>
      </c>
      <c r="F4" s="76">
        <v>45701</v>
      </c>
      <c r="G4" s="78" t="s">
        <v>3</v>
      </c>
      <c r="H4" s="77">
        <v>13</v>
      </c>
      <c r="I4" s="77">
        <v>45</v>
      </c>
      <c r="J4" s="77">
        <v>125</v>
      </c>
      <c r="K4" s="77">
        <v>0</v>
      </c>
      <c r="L4" s="77">
        <v>183</v>
      </c>
    </row>
    <row r="5" spans="2:12" ht="60" x14ac:dyDescent="0.3">
      <c r="B5" s="76" t="s">
        <v>6</v>
      </c>
      <c r="C5" s="76" t="s">
        <v>104</v>
      </c>
      <c r="D5" s="76" t="s">
        <v>12</v>
      </c>
      <c r="E5" s="76" t="s">
        <v>2</v>
      </c>
      <c r="F5" s="76" t="s">
        <v>105</v>
      </c>
      <c r="G5" s="78" t="s">
        <v>34</v>
      </c>
      <c r="H5" s="20"/>
      <c r="I5" s="20"/>
      <c r="J5" s="20"/>
      <c r="K5" s="20"/>
      <c r="L5" s="20">
        <v>120</v>
      </c>
    </row>
    <row r="6" spans="2:12" ht="156" x14ac:dyDescent="0.3">
      <c r="B6" s="76" t="s">
        <v>6</v>
      </c>
      <c r="C6" s="76" t="s">
        <v>109</v>
      </c>
      <c r="D6" s="76" t="s">
        <v>10</v>
      </c>
      <c r="E6" s="76" t="s">
        <v>2</v>
      </c>
      <c r="F6" s="76">
        <v>45709</v>
      </c>
      <c r="G6" s="78" t="s">
        <v>110</v>
      </c>
      <c r="H6" s="77">
        <v>30</v>
      </c>
      <c r="I6" s="77">
        <v>0</v>
      </c>
      <c r="J6" s="77">
        <v>180</v>
      </c>
      <c r="K6" s="77">
        <v>30</v>
      </c>
      <c r="L6" s="77">
        <v>240</v>
      </c>
    </row>
    <row r="7" spans="2:12" ht="120" x14ac:dyDescent="0.3">
      <c r="B7" s="76" t="s">
        <v>6</v>
      </c>
      <c r="C7" s="76" t="s">
        <v>111</v>
      </c>
      <c r="D7" s="76" t="s">
        <v>10</v>
      </c>
      <c r="E7" s="76" t="s">
        <v>2</v>
      </c>
      <c r="F7" s="76">
        <v>45709</v>
      </c>
      <c r="G7" s="78" t="s">
        <v>110</v>
      </c>
      <c r="H7" s="77">
        <v>20</v>
      </c>
      <c r="I7" s="77">
        <v>0</v>
      </c>
      <c r="J7" s="77">
        <v>160</v>
      </c>
      <c r="K7" s="77">
        <v>30</v>
      </c>
      <c r="L7" s="77">
        <v>210</v>
      </c>
    </row>
    <row r="8" spans="2:12" ht="156" x14ac:dyDescent="0.3">
      <c r="B8" s="76" t="s">
        <v>6</v>
      </c>
      <c r="C8" s="76" t="s">
        <v>114</v>
      </c>
      <c r="D8" s="76" t="s">
        <v>10</v>
      </c>
      <c r="E8" s="76" t="s">
        <v>2</v>
      </c>
      <c r="F8" s="76">
        <v>45709</v>
      </c>
      <c r="G8" s="78" t="s">
        <v>110</v>
      </c>
      <c r="H8" s="77">
        <v>20</v>
      </c>
      <c r="I8" s="77">
        <v>0</v>
      </c>
      <c r="J8" s="77">
        <v>160</v>
      </c>
      <c r="K8" s="77">
        <v>30</v>
      </c>
      <c r="L8" s="77">
        <v>210</v>
      </c>
    </row>
    <row r="9" spans="2:12" ht="108" x14ac:dyDescent="0.3">
      <c r="B9" s="76" t="s">
        <v>20</v>
      </c>
      <c r="C9" s="76" t="s">
        <v>116</v>
      </c>
      <c r="D9" s="76" t="s">
        <v>12</v>
      </c>
      <c r="E9" s="76" t="s">
        <v>2</v>
      </c>
      <c r="F9" s="76">
        <v>45712</v>
      </c>
      <c r="G9" s="78" t="s">
        <v>110</v>
      </c>
      <c r="H9" s="77">
        <v>5</v>
      </c>
      <c r="I9" s="77">
        <v>6</v>
      </c>
      <c r="J9" s="77">
        <v>76</v>
      </c>
      <c r="K9" s="77">
        <v>0</v>
      </c>
      <c r="L9" s="77">
        <v>87</v>
      </c>
    </row>
    <row r="10" spans="2:12" ht="72" x14ac:dyDescent="0.3">
      <c r="B10" s="76" t="s">
        <v>20</v>
      </c>
      <c r="C10" s="76" t="s">
        <v>186</v>
      </c>
      <c r="D10" s="76" t="s">
        <v>10</v>
      </c>
      <c r="E10" s="76" t="s">
        <v>2</v>
      </c>
      <c r="F10" s="76">
        <v>45715</v>
      </c>
      <c r="G10" s="78" t="s">
        <v>3</v>
      </c>
      <c r="H10" s="77">
        <v>28</v>
      </c>
      <c r="I10" s="77">
        <v>39</v>
      </c>
      <c r="J10" s="77">
        <v>117</v>
      </c>
      <c r="K10" s="77">
        <v>5</v>
      </c>
      <c r="L10" s="77">
        <v>189</v>
      </c>
    </row>
    <row r="11" spans="2:12" ht="180" x14ac:dyDescent="0.3">
      <c r="B11" s="76" t="s">
        <v>20</v>
      </c>
      <c r="C11" s="76" t="s">
        <v>217</v>
      </c>
      <c r="D11" s="76" t="s">
        <v>10</v>
      </c>
      <c r="E11" s="76" t="s">
        <v>2</v>
      </c>
      <c r="F11" s="76" t="s">
        <v>216</v>
      </c>
      <c r="G11" s="78" t="s">
        <v>3</v>
      </c>
      <c r="H11" s="77">
        <v>45</v>
      </c>
      <c r="I11" s="77">
        <v>67</v>
      </c>
      <c r="J11" s="77">
        <v>425</v>
      </c>
      <c r="K11" s="77">
        <v>25</v>
      </c>
      <c r="L11" s="77">
        <v>562</v>
      </c>
    </row>
    <row r="12" spans="2:12" ht="168" x14ac:dyDescent="0.3">
      <c r="B12" s="76" t="s">
        <v>20</v>
      </c>
      <c r="C12" s="76" t="s">
        <v>214</v>
      </c>
      <c r="D12" s="76" t="s">
        <v>10</v>
      </c>
      <c r="E12" s="76" t="s">
        <v>2</v>
      </c>
      <c r="F12" s="76">
        <v>45728</v>
      </c>
      <c r="G12" s="78" t="s">
        <v>3</v>
      </c>
      <c r="H12" s="77">
        <v>25</v>
      </c>
      <c r="I12" s="77">
        <v>0</v>
      </c>
      <c r="J12" s="77">
        <v>0</v>
      </c>
      <c r="K12" s="77">
        <v>0</v>
      </c>
      <c r="L12" s="77">
        <v>25</v>
      </c>
    </row>
    <row r="13" spans="2:12" ht="108" x14ac:dyDescent="0.3">
      <c r="B13" s="76" t="s">
        <v>6</v>
      </c>
      <c r="C13" s="76" t="s">
        <v>201</v>
      </c>
      <c r="D13" s="76" t="s">
        <v>23</v>
      </c>
      <c r="E13" s="76" t="s">
        <v>2</v>
      </c>
      <c r="F13" s="76">
        <v>45730</v>
      </c>
      <c r="G13" s="78" t="s">
        <v>73</v>
      </c>
      <c r="H13" s="77">
        <v>21</v>
      </c>
      <c r="I13" s="77">
        <v>80</v>
      </c>
      <c r="J13" s="77">
        <v>220</v>
      </c>
      <c r="K13" s="77">
        <v>0</v>
      </c>
      <c r="L13" s="77">
        <v>321</v>
      </c>
    </row>
    <row r="14" spans="2:12" ht="48" x14ac:dyDescent="0.3">
      <c r="B14" s="76" t="s">
        <v>20</v>
      </c>
      <c r="C14" s="76" t="s">
        <v>261</v>
      </c>
      <c r="D14" s="76" t="s">
        <v>23</v>
      </c>
      <c r="E14" s="76" t="s">
        <v>2</v>
      </c>
      <c r="F14" s="76">
        <v>45731</v>
      </c>
      <c r="G14" s="78" t="s">
        <v>40</v>
      </c>
      <c r="H14" s="77">
        <v>0</v>
      </c>
      <c r="I14" s="77">
        <v>1</v>
      </c>
      <c r="J14" s="77">
        <v>2</v>
      </c>
      <c r="K14" s="77">
        <v>0</v>
      </c>
      <c r="L14" s="77">
        <v>3</v>
      </c>
    </row>
    <row r="15" spans="2:12" ht="204" x14ac:dyDescent="0.3">
      <c r="B15" s="76" t="s">
        <v>20</v>
      </c>
      <c r="C15" s="76" t="s">
        <v>219</v>
      </c>
      <c r="D15" s="76" t="s">
        <v>10</v>
      </c>
      <c r="E15" s="76" t="s">
        <v>2</v>
      </c>
      <c r="F15" s="76">
        <v>45735</v>
      </c>
      <c r="G15" s="78" t="s">
        <v>3</v>
      </c>
      <c r="H15" s="77">
        <v>38</v>
      </c>
      <c r="I15" s="77">
        <v>0</v>
      </c>
      <c r="J15" s="77">
        <v>0</v>
      </c>
      <c r="K15" s="77">
        <v>0</v>
      </c>
      <c r="L15" s="77">
        <v>38</v>
      </c>
    </row>
    <row r="16" spans="2:12" ht="120" x14ac:dyDescent="0.3">
      <c r="B16" s="76" t="s">
        <v>6</v>
      </c>
      <c r="C16" s="76" t="s">
        <v>272</v>
      </c>
      <c r="D16" s="76" t="s">
        <v>10</v>
      </c>
      <c r="E16" s="76" t="s">
        <v>2</v>
      </c>
      <c r="F16" s="76">
        <v>45750</v>
      </c>
      <c r="G16" s="78" t="s">
        <v>273</v>
      </c>
      <c r="H16" s="77">
        <v>0</v>
      </c>
      <c r="I16" s="77">
        <v>4</v>
      </c>
      <c r="J16" s="77">
        <v>0</v>
      </c>
      <c r="K16" s="77">
        <v>0</v>
      </c>
      <c r="L16" s="77">
        <v>4</v>
      </c>
    </row>
    <row r="17" spans="2:12" ht="108" x14ac:dyDescent="0.3">
      <c r="B17" s="76" t="s">
        <v>20</v>
      </c>
      <c r="C17" s="76" t="s">
        <v>444</v>
      </c>
      <c r="D17" s="76" t="s">
        <v>12</v>
      </c>
      <c r="E17" s="76" t="s">
        <v>14</v>
      </c>
      <c r="F17" s="76">
        <v>45751</v>
      </c>
      <c r="G17" s="78" t="s">
        <v>445</v>
      </c>
      <c r="H17" s="77">
        <v>30</v>
      </c>
      <c r="I17" s="77">
        <v>5</v>
      </c>
      <c r="J17" s="77">
        <v>10</v>
      </c>
      <c r="K17" s="77">
        <v>0</v>
      </c>
      <c r="L17" s="77">
        <v>45</v>
      </c>
    </row>
    <row r="18" spans="2:12" ht="60" x14ac:dyDescent="0.3">
      <c r="B18" s="76" t="s">
        <v>20</v>
      </c>
      <c r="C18" s="76" t="s">
        <v>448</v>
      </c>
      <c r="D18" s="76" t="s">
        <v>10</v>
      </c>
      <c r="E18" s="76" t="s">
        <v>14</v>
      </c>
      <c r="F18" s="76">
        <v>45754</v>
      </c>
      <c r="G18" s="78" t="s">
        <v>46</v>
      </c>
      <c r="H18" s="77">
        <v>3</v>
      </c>
      <c r="I18" s="77">
        <v>12</v>
      </c>
      <c r="J18" s="77">
        <v>25</v>
      </c>
      <c r="K18" s="77">
        <v>0</v>
      </c>
      <c r="L18" s="77">
        <v>40</v>
      </c>
    </row>
    <row r="19" spans="2:12" ht="72" x14ac:dyDescent="0.3">
      <c r="B19" s="76" t="s">
        <v>20</v>
      </c>
      <c r="C19" s="76" t="s">
        <v>451</v>
      </c>
      <c r="D19" s="76" t="s">
        <v>12</v>
      </c>
      <c r="E19" s="76" t="s">
        <v>14</v>
      </c>
      <c r="F19" s="76">
        <v>45757</v>
      </c>
      <c r="G19" s="78" t="s">
        <v>452</v>
      </c>
      <c r="H19" s="77">
        <v>7</v>
      </c>
      <c r="I19" s="77">
        <v>0</v>
      </c>
      <c r="J19" s="77">
        <v>0</v>
      </c>
      <c r="K19" s="77">
        <v>0</v>
      </c>
      <c r="L19" s="77">
        <v>7</v>
      </c>
    </row>
    <row r="20" spans="2:12" ht="60" x14ac:dyDescent="0.3">
      <c r="B20" s="73" t="s">
        <v>20</v>
      </c>
      <c r="C20" s="73" t="s">
        <v>435</v>
      </c>
      <c r="D20" s="73" t="s">
        <v>10</v>
      </c>
      <c r="E20" s="73" t="s">
        <v>2</v>
      </c>
      <c r="F20" s="73">
        <v>45768</v>
      </c>
      <c r="G20" s="78" t="s">
        <v>3</v>
      </c>
      <c r="H20" s="77">
        <v>23</v>
      </c>
      <c r="I20" s="77">
        <v>76</v>
      </c>
      <c r="J20" s="77">
        <v>87</v>
      </c>
      <c r="K20" s="77">
        <v>0</v>
      </c>
      <c r="L20" s="77">
        <v>186</v>
      </c>
    </row>
    <row r="21" spans="2:12" ht="144" x14ac:dyDescent="0.3">
      <c r="B21" s="73" t="s">
        <v>20</v>
      </c>
      <c r="C21" s="73" t="s">
        <v>438</v>
      </c>
      <c r="D21" s="73" t="s">
        <v>10</v>
      </c>
      <c r="E21" s="73" t="s">
        <v>2</v>
      </c>
      <c r="F21" s="73">
        <v>45769</v>
      </c>
      <c r="G21" s="78" t="s">
        <v>24</v>
      </c>
      <c r="H21" s="77">
        <v>18</v>
      </c>
      <c r="I21" s="77">
        <v>65</v>
      </c>
      <c r="J21" s="77">
        <v>87</v>
      </c>
      <c r="K21" s="77">
        <v>15</v>
      </c>
      <c r="L21" s="77">
        <v>185</v>
      </c>
    </row>
    <row r="22" spans="2:12" ht="144" x14ac:dyDescent="0.3">
      <c r="B22" s="73" t="s">
        <v>6</v>
      </c>
      <c r="C22" s="80" t="s">
        <v>393</v>
      </c>
      <c r="D22" s="73" t="s">
        <v>10</v>
      </c>
      <c r="E22" s="73" t="s">
        <v>2</v>
      </c>
      <c r="F22" s="73">
        <v>45772</v>
      </c>
      <c r="G22" s="78" t="s">
        <v>339</v>
      </c>
      <c r="H22" s="77">
        <v>35</v>
      </c>
      <c r="I22" s="77">
        <v>110</v>
      </c>
      <c r="J22" s="77">
        <v>385</v>
      </c>
      <c r="K22" s="77">
        <v>55</v>
      </c>
      <c r="L22" s="77">
        <v>585</v>
      </c>
    </row>
    <row r="23" spans="2:12" ht="96" x14ac:dyDescent="0.3">
      <c r="B23" s="73" t="s">
        <v>20</v>
      </c>
      <c r="C23" s="73" t="s">
        <v>375</v>
      </c>
      <c r="D23" s="73" t="s">
        <v>13</v>
      </c>
      <c r="E23" s="73" t="s">
        <v>2</v>
      </c>
      <c r="F23" s="73">
        <v>45773</v>
      </c>
      <c r="G23" s="78" t="s">
        <v>376</v>
      </c>
      <c r="H23" s="77">
        <v>0</v>
      </c>
      <c r="I23" s="77">
        <v>21</v>
      </c>
      <c r="J23" s="77">
        <v>66</v>
      </c>
      <c r="K23" s="77">
        <v>0</v>
      </c>
      <c r="L23" s="77">
        <v>87</v>
      </c>
    </row>
    <row r="24" spans="2:12" ht="132" x14ac:dyDescent="0.3">
      <c r="B24" s="76" t="s">
        <v>6</v>
      </c>
      <c r="C24" s="76" t="s">
        <v>456</v>
      </c>
      <c r="D24" s="76" t="s">
        <v>349</v>
      </c>
      <c r="E24" s="76" t="s">
        <v>2</v>
      </c>
      <c r="F24" s="76">
        <v>45782</v>
      </c>
      <c r="G24" s="78" t="s">
        <v>339</v>
      </c>
      <c r="H24" s="77">
        <v>0</v>
      </c>
      <c r="I24" s="77">
        <v>55</v>
      </c>
      <c r="J24" s="77">
        <v>145</v>
      </c>
      <c r="K24" s="77">
        <v>10</v>
      </c>
      <c r="L24" s="77">
        <v>210</v>
      </c>
    </row>
    <row r="25" spans="2:12" ht="96" x14ac:dyDescent="0.3">
      <c r="B25" s="76" t="s">
        <v>6</v>
      </c>
      <c r="C25" s="76" t="s">
        <v>353</v>
      </c>
      <c r="D25" s="76" t="s">
        <v>10</v>
      </c>
      <c r="E25" s="76" t="s">
        <v>2</v>
      </c>
      <c r="F25" s="76">
        <v>45783</v>
      </c>
      <c r="G25" s="78" t="s">
        <v>339</v>
      </c>
      <c r="H25" s="77">
        <v>0</v>
      </c>
      <c r="I25" s="77">
        <v>60</v>
      </c>
      <c r="J25" s="77">
        <v>150</v>
      </c>
      <c r="K25" s="77">
        <v>15</v>
      </c>
      <c r="L25" s="77">
        <v>225</v>
      </c>
    </row>
    <row r="26" spans="2:12" ht="180" x14ac:dyDescent="0.3">
      <c r="B26" s="76" t="s">
        <v>6</v>
      </c>
      <c r="C26" s="76" t="s">
        <v>109</v>
      </c>
      <c r="D26" s="76" t="s">
        <v>10</v>
      </c>
      <c r="E26" s="76" t="s">
        <v>2</v>
      </c>
      <c r="F26" s="76">
        <v>45784</v>
      </c>
      <c r="G26" s="78" t="s">
        <v>339</v>
      </c>
      <c r="H26" s="77"/>
      <c r="I26" s="77"/>
      <c r="J26" s="77"/>
      <c r="K26" s="77"/>
      <c r="L26" s="77">
        <v>120</v>
      </c>
    </row>
    <row r="27" spans="2:12" ht="72" x14ac:dyDescent="0.3">
      <c r="B27" s="76" t="s">
        <v>6</v>
      </c>
      <c r="C27" s="76" t="s">
        <v>352</v>
      </c>
      <c r="D27" s="76" t="s">
        <v>10</v>
      </c>
      <c r="E27" s="76" t="s">
        <v>2</v>
      </c>
      <c r="F27" s="76">
        <v>45784</v>
      </c>
      <c r="G27" s="78" t="s">
        <v>339</v>
      </c>
      <c r="H27" s="77"/>
      <c r="I27" s="77"/>
      <c r="J27" s="77"/>
      <c r="K27" s="77"/>
      <c r="L27" s="77">
        <v>300</v>
      </c>
    </row>
    <row r="28" spans="2:12" x14ac:dyDescent="0.3">
      <c r="L28">
        <f>SUM(L1:L27)</f>
        <v>4508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Tamerlan</cp:lastModifiedBy>
  <cp:lastPrinted>2023-06-06T11:59:58Z</cp:lastPrinted>
  <dcterms:created xsi:type="dcterms:W3CDTF">2023-01-09T13:06:43Z</dcterms:created>
  <dcterms:modified xsi:type="dcterms:W3CDTF">2026-02-28T12:34:35Z</dcterms:modified>
</cp:coreProperties>
</file>